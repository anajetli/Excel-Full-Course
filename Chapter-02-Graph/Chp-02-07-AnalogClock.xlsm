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 activeTab="3"/>
  </bookViews>
  <sheets>
    <sheet name="AnalogClock" sheetId="7" r:id="rId1"/>
    <sheet name="AnalogClock (2)" sheetId="8" r:id="rId2"/>
    <sheet name="AnalogClock (3)" sheetId="9" r:id="rId3"/>
    <sheet name="AnalogClock (4)" sheetId="10" r:id="rId4"/>
  </sheets>
  <calcPr calcId="144525"/>
</workbook>
</file>

<file path=xl/calcChain.xml><?xml version="1.0" encoding="utf-8"?>
<calcChain xmlns="http://schemas.openxmlformats.org/spreadsheetml/2006/main">
  <c r="B2" i="10" l="1"/>
  <c r="J6" i="10" s="1"/>
  <c r="B2" i="9"/>
  <c r="J6" i="9" s="1"/>
  <c r="L6" i="9" s="1"/>
  <c r="M6" i="10" l="1"/>
  <c r="L6" i="10"/>
  <c r="J5" i="10"/>
  <c r="J4" i="10"/>
  <c r="M6" i="9"/>
  <c r="J5" i="9"/>
  <c r="J4" i="9"/>
  <c r="B2" i="8"/>
  <c r="K6" i="8" s="1"/>
  <c r="M4" i="10" l="1"/>
  <c r="L4" i="10"/>
  <c r="L5" i="10"/>
  <c r="M5" i="10"/>
  <c r="L4" i="9"/>
  <c r="M4" i="9"/>
  <c r="L5" i="9"/>
  <c r="M5" i="9"/>
  <c r="N6" i="8"/>
  <c r="M6" i="8"/>
  <c r="K5" i="8"/>
  <c r="K4" i="8"/>
  <c r="B2" i="7"/>
  <c r="L6" i="7" s="1"/>
  <c r="N4" i="8" l="1"/>
  <c r="M4" i="8"/>
  <c r="M5" i="8"/>
  <c r="N5" i="8"/>
  <c r="O6" i="7"/>
  <c r="N6" i="7"/>
  <c r="L4" i="7"/>
  <c r="O4" i="7" s="1"/>
  <c r="L5" i="7"/>
  <c r="N4" i="7" l="1"/>
  <c r="N5" i="7"/>
  <c r="O5" i="7"/>
</calcChain>
</file>

<file path=xl/sharedStrings.xml><?xml version="1.0" encoding="utf-8"?>
<sst xmlns="http://schemas.openxmlformats.org/spreadsheetml/2006/main" count="28" uniqueCount="7">
  <si>
    <t>Hours</t>
  </si>
  <si>
    <t>Minutes</t>
  </si>
  <si>
    <t>Seconds</t>
  </si>
  <si>
    <t>Size</t>
  </si>
  <si>
    <t>y-axis</t>
  </si>
  <si>
    <t>x-axis</t>
  </si>
  <si>
    <t>Starting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</si>
</sst>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:ss\ AM/PM;@"/>
  </numFmts>
  <fonts count="4" x14ac:knownFonts="1">
    <font>
      <sz val="11"/>
      <color theme="1"/>
      <name val="Calibri"/>
      <family val="2"/>
      <scheme val="minor"/>
    </font>
    <font>
      <sz val="48"/>
      <color rgb="FF92D050"/>
      <name val="Digiface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9" fontId="0" fillId="0" borderId="0" xfId="0" applyNumberFormat="1"/>
    <xf numFmtId="0" fontId="2" fillId="0" borderId="2" xfId="0" applyFont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 applyAlignment="1">
      <alignment horizontal="center"/>
    </xf>
    <xf numFmtId="0" fontId="2" fillId="5" borderId="1" xfId="0" applyFont="1" applyFill="1" applyBorder="1"/>
    <xf numFmtId="0" fontId="2" fillId="5" borderId="9" xfId="0" applyFont="1" applyFill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3" borderId="0" xfId="0" applyFont="1" applyFill="1"/>
    <xf numFmtId="0" fontId="2" fillId="3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3" fillId="4" borderId="8" xfId="0" applyFont="1" applyFill="1" applyBorder="1" applyAlignment="1">
      <alignment horizontal="right"/>
    </xf>
    <xf numFmtId="0" fontId="3" fillId="4" borderId="9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Seconds</c:v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(AnalogClock!$N$7,AnalogClock!$N$6)</c:f>
              <c:numCache>
                <c:formatCode>General</c:formatCode>
                <c:ptCount val="2"/>
                <c:pt idx="0">
                  <c:v>0</c:v>
                </c:pt>
                <c:pt idx="1">
                  <c:v>-0.30901699437494728</c:v>
                </c:pt>
              </c:numCache>
            </c:numRef>
          </c:xVal>
          <c:yVal>
            <c:numRef>
              <c:f>(AnalogClock!$O$7,AnalogClock!$O$6)</c:f>
              <c:numCache>
                <c:formatCode>General</c:formatCode>
                <c:ptCount val="2"/>
                <c:pt idx="0">
                  <c:v>0</c:v>
                </c:pt>
                <c:pt idx="1">
                  <c:v>-0.95105651629515364</c:v>
                </c:pt>
              </c:numCache>
            </c:numRef>
          </c:yVal>
          <c:smooth val="1"/>
        </c:ser>
        <c:ser>
          <c:idx val="1"/>
          <c:order val="1"/>
          <c:tx>
            <c:v>Minutes</c:v>
          </c:tx>
          <c:spPr>
            <a:ln w="381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(AnalogClock!$N$7,AnalogClock!$N$5)</c:f>
              <c:numCache>
                <c:formatCode>General</c:formatCode>
                <c:ptCount val="2"/>
                <c:pt idx="0">
                  <c:v>0</c:v>
                </c:pt>
                <c:pt idx="1">
                  <c:v>-0.36749741434324634</c:v>
                </c:pt>
              </c:numCache>
            </c:numRef>
          </c:xVal>
          <c:yVal>
            <c:numRef>
              <c:f>(AnalogClock!$O$7,AnalogClock!$O$5)</c:f>
              <c:numCache>
                <c:formatCode>General</c:formatCode>
                <c:ptCount val="2"/>
                <c:pt idx="0">
                  <c:v>0</c:v>
                </c:pt>
                <c:pt idx="1">
                  <c:v>-0.82155075950973855</c:v>
                </c:pt>
              </c:numCache>
            </c:numRef>
          </c:yVal>
          <c:smooth val="1"/>
        </c:ser>
        <c:ser>
          <c:idx val="2"/>
          <c:order val="2"/>
          <c:tx>
            <c:v>Hours</c:v>
          </c:tx>
          <c:spPr>
            <a:ln w="5715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(AnalogClock!$N$7,AnalogClock!$N$4)</c:f>
              <c:numCache>
                <c:formatCode>General</c:formatCode>
                <c:ptCount val="2"/>
                <c:pt idx="0">
                  <c:v>0</c:v>
                </c:pt>
                <c:pt idx="1">
                  <c:v>0.79997440381163676</c:v>
                </c:pt>
              </c:numCache>
            </c:numRef>
          </c:xVal>
          <c:yVal>
            <c:numRef>
              <c:f>(AnalogClock!$O$7,AnalogClock!$O$4)</c:f>
              <c:numCache>
                <c:formatCode>General</c:formatCode>
                <c:ptCount val="2"/>
                <c:pt idx="0">
                  <c:v>0</c:v>
                </c:pt>
                <c:pt idx="1">
                  <c:v>-6.3994723388977716E-3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69408"/>
        <c:axId val="131970944"/>
      </c:scatterChart>
      <c:valAx>
        <c:axId val="131969408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31970944"/>
        <c:crosses val="autoZero"/>
        <c:crossBetween val="midCat"/>
      </c:valAx>
      <c:valAx>
        <c:axId val="131970944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31969408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Seconds</c:v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('AnalogClock (2)'!$M$7,'AnalogClock (2)'!$M$6)</c:f>
              <c:numCache>
                <c:formatCode>General</c:formatCode>
                <c:ptCount val="2"/>
                <c:pt idx="0">
                  <c:v>0</c:v>
                </c:pt>
                <c:pt idx="1">
                  <c:v>-0.30901699437494728</c:v>
                </c:pt>
              </c:numCache>
            </c:numRef>
          </c:xVal>
          <c:yVal>
            <c:numRef>
              <c:f>('AnalogClock (2)'!$N$7,'AnalogClock (2)'!$N$6)</c:f>
              <c:numCache>
                <c:formatCode>General</c:formatCode>
                <c:ptCount val="2"/>
                <c:pt idx="0">
                  <c:v>0</c:v>
                </c:pt>
                <c:pt idx="1">
                  <c:v>-0.95105651629515364</c:v>
                </c:pt>
              </c:numCache>
            </c:numRef>
          </c:yVal>
          <c:smooth val="1"/>
        </c:ser>
        <c:ser>
          <c:idx val="1"/>
          <c:order val="1"/>
          <c:tx>
            <c:v>Minutes</c:v>
          </c:tx>
          <c:spPr>
            <a:ln w="381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('AnalogClock (2)'!$M$7,'AnalogClock (2)'!$M$5)</c:f>
              <c:numCache>
                <c:formatCode>General</c:formatCode>
                <c:ptCount val="2"/>
                <c:pt idx="0">
                  <c:v>0</c:v>
                </c:pt>
                <c:pt idx="1">
                  <c:v>-0.28583132226696933</c:v>
                </c:pt>
              </c:numCache>
            </c:numRef>
          </c:xVal>
          <c:yVal>
            <c:numRef>
              <c:f>('AnalogClock (2)'!$N$7,'AnalogClock (2)'!$N$5)</c:f>
              <c:numCache>
                <c:formatCode>General</c:formatCode>
                <c:ptCount val="2"/>
                <c:pt idx="0">
                  <c:v>0</c:v>
                </c:pt>
                <c:pt idx="1">
                  <c:v>-0.63898392406312998</c:v>
                </c:pt>
              </c:numCache>
            </c:numRef>
          </c:yVal>
          <c:smooth val="1"/>
        </c:ser>
        <c:ser>
          <c:idx val="2"/>
          <c:order val="2"/>
          <c:tx>
            <c:v>Hours</c:v>
          </c:tx>
          <c:spPr>
            <a:ln w="5715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('AnalogClock (2)'!$M$7,'AnalogClock (2)'!$M$4)</c:f>
              <c:numCache>
                <c:formatCode>General</c:formatCode>
                <c:ptCount val="2"/>
                <c:pt idx="0">
                  <c:v>0</c:v>
                </c:pt>
                <c:pt idx="1">
                  <c:v>0.64998728808150485</c:v>
                </c:pt>
              </c:numCache>
            </c:numRef>
          </c:xVal>
          <c:yVal>
            <c:numRef>
              <c:f>('AnalogClock (2)'!$N$7,'AnalogClock (2)'!$N$4)</c:f>
              <c:numCache>
                <c:formatCode>General</c:formatCode>
                <c:ptCount val="2"/>
                <c:pt idx="0">
                  <c:v>0</c:v>
                </c:pt>
                <c:pt idx="1">
                  <c:v>-4.0651362155473538E-3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38016"/>
        <c:axId val="132039808"/>
      </c:scatterChart>
      <c:valAx>
        <c:axId val="132038016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32039808"/>
        <c:crosses val="autoZero"/>
        <c:crossBetween val="midCat"/>
      </c:valAx>
      <c:valAx>
        <c:axId val="132039808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32038016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873583260680033E-2"/>
          <c:y val="3.8596491228070177E-2"/>
          <c:w val="0.92327811682650396"/>
          <c:h val="0.92280701754385963"/>
        </c:manualLayout>
      </c:layout>
      <c:scatterChart>
        <c:scatterStyle val="smoothMarker"/>
        <c:varyColors val="0"/>
        <c:ser>
          <c:idx val="0"/>
          <c:order val="0"/>
          <c:tx>
            <c:v>Seconds</c:v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('AnalogClock (3)'!$L$7,'AnalogClock (3)'!$L$6)</c:f>
              <c:numCache>
                <c:formatCode>General</c:formatCode>
                <c:ptCount val="2"/>
                <c:pt idx="0">
                  <c:v>0</c:v>
                </c:pt>
                <c:pt idx="1">
                  <c:v>-0.61803398874989457</c:v>
                </c:pt>
              </c:numCache>
            </c:numRef>
          </c:xVal>
          <c:yVal>
            <c:numRef>
              <c:f>('AnalogClock (3)'!$M$7,'AnalogClock (3)'!$M$6)</c:f>
              <c:numCache>
                <c:formatCode>General</c:formatCode>
                <c:ptCount val="2"/>
                <c:pt idx="0">
                  <c:v>0</c:v>
                </c:pt>
                <c:pt idx="1">
                  <c:v>-1.9021130325903073</c:v>
                </c:pt>
              </c:numCache>
            </c:numRef>
          </c:yVal>
          <c:smooth val="1"/>
        </c:ser>
        <c:ser>
          <c:idx val="1"/>
          <c:order val="1"/>
          <c:tx>
            <c:v>Minutes</c:v>
          </c:tx>
          <c:spPr>
            <a:ln w="381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('AnalogClock (3)'!$L$7,'AnalogClock (3)'!$L$5)</c:f>
              <c:numCache>
                <c:formatCode>General</c:formatCode>
                <c:ptCount val="2"/>
                <c:pt idx="0">
                  <c:v>0</c:v>
                </c:pt>
                <c:pt idx="1">
                  <c:v>-0.61488455076235882</c:v>
                </c:pt>
              </c:numCache>
            </c:numRef>
          </c:xVal>
          <c:yVal>
            <c:numRef>
              <c:f>('AnalogClock (3)'!$M$7,'AnalogClock (3)'!$M$5)</c:f>
              <c:numCache>
                <c:formatCode>General</c:formatCode>
                <c:ptCount val="2"/>
                <c:pt idx="0">
                  <c:v>0</c:v>
                </c:pt>
                <c:pt idx="1">
                  <c:v>-1.3681801742584097</c:v>
                </c:pt>
              </c:numCache>
            </c:numRef>
          </c:yVal>
          <c:smooth val="1"/>
        </c:ser>
        <c:ser>
          <c:idx val="2"/>
          <c:order val="2"/>
          <c:tx>
            <c:v>Hours</c:v>
          </c:tx>
          <c:spPr>
            <a:ln w="5715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('AnalogClock (3)'!$L$7,'AnalogClock (3)'!$L$4)</c:f>
              <c:numCache>
                <c:formatCode>General</c:formatCode>
                <c:ptCount val="2"/>
                <c:pt idx="0">
                  <c:v>0</c:v>
                </c:pt>
                <c:pt idx="1">
                  <c:v>0.99991047766070273</c:v>
                </c:pt>
              </c:numCache>
            </c:numRef>
          </c:xVal>
          <c:yVal>
            <c:numRef>
              <c:f>('AnalogClock (3)'!$M$7,'AnalogClock (3)'!$M$4)</c:f>
              <c:numCache>
                <c:formatCode>General</c:formatCode>
                <c:ptCount val="2"/>
                <c:pt idx="0">
                  <c:v>0</c:v>
                </c:pt>
                <c:pt idx="1">
                  <c:v>-1.3380458301015329E-2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2304"/>
        <c:axId val="132088192"/>
      </c:scatterChart>
      <c:valAx>
        <c:axId val="132082304"/>
        <c:scaling>
          <c:orientation val="minMax"/>
          <c:max val="2"/>
          <c:min val="-2"/>
        </c:scaling>
        <c:delete val="1"/>
        <c:axPos val="b"/>
        <c:numFmt formatCode="General" sourceLinked="1"/>
        <c:majorTickMark val="out"/>
        <c:minorTickMark val="none"/>
        <c:tickLblPos val="nextTo"/>
        <c:crossAx val="132088192"/>
        <c:crosses val="autoZero"/>
        <c:crossBetween val="midCat"/>
      </c:valAx>
      <c:valAx>
        <c:axId val="132088192"/>
        <c:scaling>
          <c:orientation val="minMax"/>
          <c:max val="2"/>
          <c:min val="-2"/>
        </c:scaling>
        <c:delete val="1"/>
        <c:axPos val="l"/>
        <c:numFmt formatCode="General" sourceLinked="1"/>
        <c:majorTickMark val="out"/>
        <c:minorTickMark val="none"/>
        <c:tickLblPos val="nextTo"/>
        <c:crossAx val="13208230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873583260680033E-2"/>
          <c:y val="3.8596491228070177E-2"/>
          <c:w val="0.92327811682650396"/>
          <c:h val="0.92280701754385963"/>
        </c:manualLayout>
      </c:layout>
      <c:scatterChart>
        <c:scatterStyle val="smoothMarker"/>
        <c:varyColors val="0"/>
        <c:ser>
          <c:idx val="0"/>
          <c:order val="0"/>
          <c:tx>
            <c:v>Seconds</c:v>
          </c:tx>
          <c:spPr>
            <a:ln w="381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('AnalogClock (4)'!$L$7,'AnalogClock (4)'!$L$6)</c:f>
              <c:numCache>
                <c:formatCode>General</c:formatCode>
                <c:ptCount val="2"/>
                <c:pt idx="0">
                  <c:v>0</c:v>
                </c:pt>
                <c:pt idx="1">
                  <c:v>-0.61803398874989457</c:v>
                </c:pt>
              </c:numCache>
            </c:numRef>
          </c:xVal>
          <c:yVal>
            <c:numRef>
              <c:f>('AnalogClock (4)'!$M$7,'AnalogClock (4)'!$M$6)</c:f>
              <c:numCache>
                <c:formatCode>General</c:formatCode>
                <c:ptCount val="2"/>
                <c:pt idx="0">
                  <c:v>0</c:v>
                </c:pt>
                <c:pt idx="1">
                  <c:v>-1.9021130325903073</c:v>
                </c:pt>
              </c:numCache>
            </c:numRef>
          </c:yVal>
          <c:smooth val="1"/>
        </c:ser>
        <c:ser>
          <c:idx val="1"/>
          <c:order val="1"/>
          <c:tx>
            <c:v>Minutes</c:v>
          </c:tx>
          <c:spPr>
            <a:ln w="381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('AnalogClock (4)'!$L$7,'AnalogClock (4)'!$L$5)</c:f>
              <c:numCache>
                <c:formatCode>General</c:formatCode>
                <c:ptCount val="2"/>
                <c:pt idx="0">
                  <c:v>0</c:v>
                </c:pt>
                <c:pt idx="1">
                  <c:v>-0.61488455076235882</c:v>
                </c:pt>
              </c:numCache>
            </c:numRef>
          </c:xVal>
          <c:yVal>
            <c:numRef>
              <c:f>('AnalogClock (4)'!$M$7,'AnalogClock (4)'!$M$5)</c:f>
              <c:numCache>
                <c:formatCode>General</c:formatCode>
                <c:ptCount val="2"/>
                <c:pt idx="0">
                  <c:v>0</c:v>
                </c:pt>
                <c:pt idx="1">
                  <c:v>-1.3681801742584097</c:v>
                </c:pt>
              </c:numCache>
            </c:numRef>
          </c:yVal>
          <c:smooth val="1"/>
        </c:ser>
        <c:ser>
          <c:idx val="2"/>
          <c:order val="2"/>
          <c:tx>
            <c:v>Hours</c:v>
          </c:tx>
          <c:spPr>
            <a:ln w="5715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('AnalogClock (4)'!$L$7,'AnalogClock (4)'!$L$4)</c:f>
              <c:numCache>
                <c:formatCode>General</c:formatCode>
                <c:ptCount val="2"/>
                <c:pt idx="0">
                  <c:v>0</c:v>
                </c:pt>
                <c:pt idx="1">
                  <c:v>0.99991047766070273</c:v>
                </c:pt>
              </c:numCache>
            </c:numRef>
          </c:xVal>
          <c:yVal>
            <c:numRef>
              <c:f>('AnalogClock (4)'!$M$7,'AnalogClock (4)'!$M$4)</c:f>
              <c:numCache>
                <c:formatCode>General</c:formatCode>
                <c:ptCount val="2"/>
                <c:pt idx="0">
                  <c:v>0</c:v>
                </c:pt>
                <c:pt idx="1">
                  <c:v>-1.3380458301015329E-2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3184"/>
        <c:axId val="132174976"/>
      </c:scatterChart>
      <c:valAx>
        <c:axId val="132173184"/>
        <c:scaling>
          <c:orientation val="minMax"/>
          <c:max val="2"/>
          <c:min val="-2"/>
        </c:scaling>
        <c:delete val="0"/>
        <c:axPos val="b"/>
        <c:numFmt formatCode="General" sourceLinked="1"/>
        <c:majorTickMark val="out"/>
        <c:minorTickMark val="none"/>
        <c:tickLblPos val="nextTo"/>
        <c:crossAx val="132174976"/>
        <c:crosses val="autoZero"/>
        <c:crossBetween val="midCat"/>
      </c:valAx>
      <c:valAx>
        <c:axId val="132174976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crossAx val="13217318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7</xdr:col>
      <xdr:colOff>374650</xdr:colOff>
      <xdr:row>23</xdr:row>
      <xdr:rowOff>146050</xdr:rowOff>
    </xdr:to>
    <xdr:grpSp>
      <xdr:nvGrpSpPr>
        <xdr:cNvPr id="5" name="Group 4"/>
        <xdr:cNvGrpSpPr/>
      </xdr:nvGrpSpPr>
      <xdr:grpSpPr>
        <a:xfrm>
          <a:off x="0" y="876300"/>
          <a:ext cx="4127500" cy="4127500"/>
          <a:chOff x="158750" y="796925"/>
          <a:chExt cx="4127500" cy="4127500"/>
        </a:xfrm>
      </xdr:grpSpPr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8750" y="796925"/>
            <a:ext cx="4127500" cy="4127500"/>
          </a:xfrm>
          <a:prstGeom prst="rect">
            <a:avLst/>
          </a:prstGeom>
        </xdr:spPr>
      </xdr:pic>
      <xdr:graphicFrame macro="">
        <xdr:nvGraphicFramePr>
          <xdr:cNvPr id="3" name="Chart 2"/>
          <xdr:cNvGraphicFramePr/>
        </xdr:nvGraphicFramePr>
        <xdr:xfrm>
          <a:off x="393700" y="1331913"/>
          <a:ext cx="3657600" cy="3057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8</xdr:col>
      <xdr:colOff>0</xdr:colOff>
      <xdr:row>24</xdr:row>
      <xdr:rowOff>161925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885324"/>
          <a:ext cx="4338387" cy="4324851"/>
        </a:xfrm>
        <a:prstGeom prst="rect">
          <a:avLst/>
        </a:prstGeom>
      </xdr:spPr>
    </xdr:pic>
    <xdr:clientData/>
  </xdr:twoCellAnchor>
  <xdr:twoCellAnchor>
    <xdr:from>
      <xdr:col>1</xdr:col>
      <xdr:colOff>470967</xdr:colOff>
      <xdr:row>4</xdr:row>
      <xdr:rowOff>9525</xdr:rowOff>
    </xdr:from>
    <xdr:to>
      <xdr:col>7</xdr:col>
      <xdr:colOff>67920</xdr:colOff>
      <xdr:row>22</xdr:row>
      <xdr:rowOff>49769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7</xdr:col>
      <xdr:colOff>374650</xdr:colOff>
      <xdr:row>23</xdr:row>
      <xdr:rowOff>146050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6300"/>
          <a:ext cx="4127500" cy="4127500"/>
        </a:xfrm>
        <a:prstGeom prst="rect">
          <a:avLst/>
        </a:prstGeom>
      </xdr:spPr>
    </xdr:pic>
    <xdr:clientData/>
  </xdr:twoCellAnchor>
  <xdr:twoCellAnchor>
    <xdr:from>
      <xdr:col>1</xdr:col>
      <xdr:colOff>147638</xdr:colOff>
      <xdr:row>3</xdr:row>
      <xdr:rowOff>38100</xdr:rowOff>
    </xdr:from>
    <xdr:to>
      <xdr:col>7</xdr:col>
      <xdr:colOff>131763</xdr:colOff>
      <xdr:row>22</xdr:row>
      <xdr:rowOff>28575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147638</xdr:colOff>
      <xdr:row>3</xdr:row>
      <xdr:rowOff>38100</xdr:rowOff>
    </xdr:from>
    <xdr:to>
      <xdr:col>7</xdr:col>
      <xdr:colOff>131763</xdr:colOff>
      <xdr:row>22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6"/>
  <sheetViews>
    <sheetView showGridLines="0" workbookViewId="0">
      <selection activeCell="M13" sqref="M13"/>
    </sheetView>
  </sheetViews>
  <sheetFormatPr defaultRowHeight="15" x14ac:dyDescent="0.25"/>
  <cols>
    <col min="1" max="1" width="1.42578125" customWidth="1"/>
    <col min="12" max="12" width="9.140625" style="1"/>
    <col min="13" max="13" width="9.140625" customWidth="1"/>
    <col min="14" max="15" width="12.85546875" customWidth="1"/>
  </cols>
  <sheetData>
    <row r="1" spans="1:15" ht="7.5" customHeight="1" x14ac:dyDescent="0.25"/>
    <row r="2" spans="1:15" ht="59.25" x14ac:dyDescent="0.75">
      <c r="A2" s="4">
        <v>0.78312500000000007</v>
      </c>
      <c r="B2" s="16">
        <f ca="1">NOW()</f>
        <v>41270.648992824077</v>
      </c>
      <c r="C2" s="16"/>
      <c r="D2" s="16"/>
      <c r="E2" s="16"/>
      <c r="F2" s="16"/>
      <c r="G2" s="16"/>
    </row>
    <row r="3" spans="1:15" x14ac:dyDescent="0.25">
      <c r="K3" s="14"/>
      <c r="L3" s="15"/>
      <c r="M3" s="13" t="s">
        <v>3</v>
      </c>
      <c r="N3" s="13" t="s">
        <v>5</v>
      </c>
      <c r="O3" s="13" t="s">
        <v>4</v>
      </c>
    </row>
    <row r="4" spans="1:15" x14ac:dyDescent="0.25">
      <c r="K4" s="2" t="s">
        <v>0</v>
      </c>
      <c r="L4" s="5">
        <f ca="1">IF(HOUR(B2)&gt;12,HOUR(B2)-12,HOUR(B2))</f>
        <v>3</v>
      </c>
      <c r="M4" s="10">
        <v>0.8</v>
      </c>
      <c r="N4" s="2">
        <f ca="1">M4*SIN(RADIANS((L4+M5/60+M6/3600)*30))</f>
        <v>0.79997440381163676</v>
      </c>
      <c r="O4" s="2">
        <f ca="1">M4*COS(RADIANS((L4+M5/60+M6/3600)*30))</f>
        <v>-6.3994723388977716E-3</v>
      </c>
    </row>
    <row r="5" spans="1:15" x14ac:dyDescent="0.25">
      <c r="K5" s="2" t="s">
        <v>1</v>
      </c>
      <c r="L5" s="5">
        <f ca="1">MINUTE(B2)</f>
        <v>34</v>
      </c>
      <c r="M5" s="11">
        <v>0.9</v>
      </c>
      <c r="N5" s="2">
        <f ca="1">M5*SIN(RADIANS((L5+M6/60)*6))</f>
        <v>-0.36749741434324634</v>
      </c>
      <c r="O5" s="2">
        <f ca="1">M5*COS(RADIANS((L5+M6/60)*6))</f>
        <v>-0.82155075950973855</v>
      </c>
    </row>
    <row r="6" spans="1:15" ht="15.75" thickBot="1" x14ac:dyDescent="0.3">
      <c r="K6" s="6" t="s">
        <v>2</v>
      </c>
      <c r="L6" s="7">
        <f ca="1">SECOND(B2)</f>
        <v>33</v>
      </c>
      <c r="M6" s="12">
        <v>1</v>
      </c>
      <c r="N6" s="6">
        <f ca="1">M6*SIN(RADIANS(L6*6))</f>
        <v>-0.30901699437494728</v>
      </c>
      <c r="O6" s="6">
        <f ca="1">M6*COS(RADIANS(L6*6))</f>
        <v>-0.95105651629515364</v>
      </c>
    </row>
    <row r="7" spans="1:15" x14ac:dyDescent="0.25">
      <c r="K7" s="2"/>
      <c r="L7" s="17" t="s">
        <v>6</v>
      </c>
      <c r="M7" s="18"/>
      <c r="N7" s="8">
        <v>0</v>
      </c>
      <c r="O7" s="9">
        <v>0</v>
      </c>
    </row>
    <row r="8" spans="1:15" x14ac:dyDescent="0.25">
      <c r="K8" s="2"/>
      <c r="L8" s="3"/>
      <c r="M8" s="2"/>
      <c r="N8" s="2"/>
      <c r="O8" s="2"/>
    </row>
    <row r="9" spans="1:15" x14ac:dyDescent="0.25">
      <c r="K9" s="2"/>
      <c r="L9" s="3"/>
      <c r="M9" s="2"/>
      <c r="N9" s="2"/>
      <c r="O9" s="2"/>
    </row>
    <row r="10" spans="1:15" x14ac:dyDescent="0.25">
      <c r="K10" s="2"/>
      <c r="L10" s="3"/>
      <c r="M10" s="2"/>
      <c r="N10" s="2"/>
      <c r="O10" s="2"/>
    </row>
    <row r="11" spans="1:15" x14ac:dyDescent="0.25">
      <c r="K11" s="2"/>
      <c r="L11" s="3"/>
      <c r="M11" s="2"/>
      <c r="N11" s="2"/>
      <c r="O11" s="2"/>
    </row>
    <row r="12" spans="1:15" x14ac:dyDescent="0.25">
      <c r="K12" s="2"/>
      <c r="L12" s="3"/>
      <c r="M12" s="2"/>
      <c r="N12" s="2"/>
      <c r="O12" s="2"/>
    </row>
    <row r="13" spans="1:15" x14ac:dyDescent="0.25">
      <c r="K13" s="2"/>
      <c r="L13" s="3"/>
      <c r="M13" s="2"/>
      <c r="N13" s="2"/>
      <c r="O13" s="2"/>
    </row>
    <row r="14" spans="1:15" x14ac:dyDescent="0.25">
      <c r="K14" s="2"/>
      <c r="L14" s="3"/>
      <c r="M14" s="2"/>
      <c r="N14" s="2"/>
      <c r="O14" s="2"/>
    </row>
    <row r="15" spans="1:15" x14ac:dyDescent="0.25">
      <c r="K15" s="2"/>
      <c r="L15" s="3"/>
      <c r="M15" s="2"/>
      <c r="N15" s="2"/>
      <c r="O15" s="2"/>
    </row>
    <row r="16" spans="1:15" x14ac:dyDescent="0.25">
      <c r="K16" s="2"/>
      <c r="L16" s="3"/>
      <c r="M16" s="2"/>
      <c r="N16" s="2"/>
      <c r="O16" s="2"/>
    </row>
  </sheetData>
  <mergeCells count="2">
    <mergeCell ref="B2:G2"/>
    <mergeCell ref="L7:M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6"/>
  <sheetViews>
    <sheetView showGridLines="0" zoomScaleNormal="100" workbookViewId="0">
      <selection activeCell="J13" sqref="J13"/>
    </sheetView>
  </sheetViews>
  <sheetFormatPr defaultRowHeight="15" x14ac:dyDescent="0.25"/>
  <cols>
    <col min="1" max="1" width="1.42578125" customWidth="1"/>
    <col min="11" max="11" width="9.140625" style="1"/>
    <col min="12" max="12" width="9.140625" customWidth="1"/>
    <col min="13" max="14" width="12.85546875" customWidth="1"/>
  </cols>
  <sheetData>
    <row r="1" spans="1:14" ht="7.5" customHeight="1" x14ac:dyDescent="0.25"/>
    <row r="2" spans="1:14" ht="59.25" x14ac:dyDescent="0.75">
      <c r="A2" s="4">
        <v>0.47105324074074079</v>
      </c>
      <c r="B2" s="16">
        <f ca="1">NOW()</f>
        <v>41270.648992824077</v>
      </c>
      <c r="C2" s="16"/>
      <c r="D2" s="16"/>
      <c r="E2" s="16"/>
      <c r="F2" s="16"/>
      <c r="G2" s="16"/>
    </row>
    <row r="3" spans="1:14" x14ac:dyDescent="0.25">
      <c r="J3" s="14"/>
      <c r="K3" s="15"/>
      <c r="L3" s="13" t="s">
        <v>3</v>
      </c>
      <c r="M3" s="13" t="s">
        <v>5</v>
      </c>
      <c r="N3" s="13" t="s">
        <v>4</v>
      </c>
    </row>
    <row r="4" spans="1:14" x14ac:dyDescent="0.25">
      <c r="J4" s="2" t="s">
        <v>0</v>
      </c>
      <c r="K4" s="5">
        <f ca="1">IF(HOUR(B2)&gt;12,HOUR(B2)-12,HOUR(B2))</f>
        <v>3</v>
      </c>
      <c r="L4" s="10">
        <v>0.65</v>
      </c>
      <c r="M4" s="2">
        <f ca="1">L4*SIN(RADIANS((K4+L5/60+L6/3600)*30))</f>
        <v>0.64998728808150485</v>
      </c>
      <c r="N4" s="2">
        <f ca="1">L4*COS(RADIANS((K4+L5/60+L6/3600)*30))</f>
        <v>-4.0651362155473538E-3</v>
      </c>
    </row>
    <row r="5" spans="1:14" x14ac:dyDescent="0.25">
      <c r="J5" s="2" t="s">
        <v>1</v>
      </c>
      <c r="K5" s="5">
        <f ca="1">MINUTE(B2)</f>
        <v>34</v>
      </c>
      <c r="L5" s="11">
        <v>0.7</v>
      </c>
      <c r="M5" s="2">
        <f ca="1">L5*SIN(RADIANS((K5+L6/60)*6))</f>
        <v>-0.28583132226696933</v>
      </c>
      <c r="N5" s="2">
        <f ca="1">L5*COS(RADIANS((K5+L6/60)*6))</f>
        <v>-0.63898392406312998</v>
      </c>
    </row>
    <row r="6" spans="1:14" ht="15.75" thickBot="1" x14ac:dyDescent="0.3">
      <c r="J6" s="6" t="s">
        <v>2</v>
      </c>
      <c r="K6" s="7">
        <f ca="1">SECOND(B2)</f>
        <v>33</v>
      </c>
      <c r="L6" s="12">
        <v>1</v>
      </c>
      <c r="M6" s="6">
        <f ca="1">L6*SIN(RADIANS(K6*6))</f>
        <v>-0.30901699437494728</v>
      </c>
      <c r="N6" s="6">
        <f ca="1">L6*COS(RADIANS(K6*6))</f>
        <v>-0.95105651629515364</v>
      </c>
    </row>
    <row r="7" spans="1:14" x14ac:dyDescent="0.25">
      <c r="J7" s="2"/>
      <c r="K7" s="17" t="s">
        <v>6</v>
      </c>
      <c r="L7" s="18"/>
      <c r="M7" s="8">
        <v>0</v>
      </c>
      <c r="N7" s="9">
        <v>0</v>
      </c>
    </row>
    <row r="8" spans="1:14" x14ac:dyDescent="0.25">
      <c r="J8" s="2"/>
      <c r="K8" s="3"/>
      <c r="L8" s="2"/>
      <c r="M8" s="2"/>
      <c r="N8" s="2"/>
    </row>
    <row r="9" spans="1:14" x14ac:dyDescent="0.25">
      <c r="J9" s="2"/>
      <c r="K9" s="3"/>
      <c r="L9" s="2"/>
      <c r="M9" s="2"/>
      <c r="N9" s="2"/>
    </row>
    <row r="10" spans="1:14" x14ac:dyDescent="0.25">
      <c r="J10" s="2"/>
      <c r="K10" s="3"/>
      <c r="L10" s="2"/>
      <c r="M10" s="2"/>
      <c r="N10" s="2"/>
    </row>
    <row r="11" spans="1:14" x14ac:dyDescent="0.25">
      <c r="J11" s="2"/>
      <c r="K11" s="3"/>
      <c r="L11" s="2"/>
      <c r="M11" s="2"/>
      <c r="N11" s="2"/>
    </row>
    <row r="12" spans="1:14" x14ac:dyDescent="0.25">
      <c r="J12" s="2"/>
      <c r="K12" s="3"/>
      <c r="L12" s="2"/>
      <c r="M12" s="2"/>
      <c r="N12" s="2"/>
    </row>
    <row r="13" spans="1:14" x14ac:dyDescent="0.25">
      <c r="J13" s="2"/>
      <c r="K13" s="3"/>
      <c r="L13" s="2"/>
      <c r="M13" s="2"/>
      <c r="N13" s="2"/>
    </row>
    <row r="14" spans="1:14" x14ac:dyDescent="0.25">
      <c r="J14" s="2"/>
      <c r="K14" s="3"/>
      <c r="L14" s="2"/>
      <c r="M14" s="2"/>
      <c r="N14" s="2"/>
    </row>
    <row r="15" spans="1:14" x14ac:dyDescent="0.25">
      <c r="J15" s="2"/>
      <c r="K15" s="3"/>
      <c r="L15" s="2"/>
      <c r="M15" s="2"/>
      <c r="N15" s="2"/>
    </row>
    <row r="16" spans="1:14" x14ac:dyDescent="0.25">
      <c r="J16" s="2"/>
      <c r="K16" s="3"/>
      <c r="L16" s="2"/>
      <c r="M16" s="2"/>
      <c r="N16" s="2"/>
    </row>
  </sheetData>
  <mergeCells count="2">
    <mergeCell ref="B2:G2"/>
    <mergeCell ref="K7:L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6"/>
  <sheetViews>
    <sheetView topLeftCell="B1" workbookViewId="0">
      <selection activeCell="H19" sqref="H19"/>
    </sheetView>
  </sheetViews>
  <sheetFormatPr defaultRowHeight="15" x14ac:dyDescent="0.25"/>
  <cols>
    <col min="1" max="1" width="1.42578125" customWidth="1"/>
    <col min="10" max="10" width="9.140625" style="1"/>
    <col min="11" max="11" width="9.140625" customWidth="1"/>
    <col min="12" max="13" width="12.85546875" customWidth="1"/>
  </cols>
  <sheetData>
    <row r="1" spans="1:13" ht="7.5" customHeight="1" x14ac:dyDescent="0.25"/>
    <row r="2" spans="1:13" ht="59.25" x14ac:dyDescent="0.75">
      <c r="A2" s="4">
        <v>0.46393518518518517</v>
      </c>
      <c r="B2" s="16">
        <f ca="1">NOW()</f>
        <v>41270.648992824077</v>
      </c>
      <c r="C2" s="16"/>
      <c r="D2" s="16"/>
      <c r="E2" s="16"/>
      <c r="F2" s="16"/>
      <c r="G2" s="16"/>
    </row>
    <row r="3" spans="1:13" x14ac:dyDescent="0.25">
      <c r="I3" s="14"/>
      <c r="J3" s="15"/>
      <c r="K3" s="13" t="s">
        <v>3</v>
      </c>
      <c r="L3" s="13" t="s">
        <v>5</v>
      </c>
      <c r="M3" s="13" t="s">
        <v>4</v>
      </c>
    </row>
    <row r="4" spans="1:13" x14ac:dyDescent="0.25">
      <c r="I4" s="2" t="s">
        <v>0</v>
      </c>
      <c r="J4" s="5">
        <f ca="1">IF(HOUR(B2)&gt;12,HOUR(B2)-12,HOUR(B2))</f>
        <v>3</v>
      </c>
      <c r="K4" s="10">
        <v>1</v>
      </c>
      <c r="L4" s="2">
        <f ca="1">K4*SIN(RADIANS((J4+K5/60+K6/3600)*30))</f>
        <v>0.99991047766070273</v>
      </c>
      <c r="M4" s="2">
        <f ca="1">K4*COS(RADIANS((J4+K5/60+K6/3600)*30))</f>
        <v>-1.3380458301015329E-2</v>
      </c>
    </row>
    <row r="5" spans="1:13" x14ac:dyDescent="0.25">
      <c r="I5" s="2" t="s">
        <v>1</v>
      </c>
      <c r="J5" s="5">
        <f ca="1">MINUTE(B2)</f>
        <v>34</v>
      </c>
      <c r="K5" s="11">
        <v>1.5</v>
      </c>
      <c r="L5" s="2">
        <f ca="1">K5*SIN(RADIANS((J5+K6/60)*6))</f>
        <v>-0.61488455076235882</v>
      </c>
      <c r="M5" s="2">
        <f ca="1">K5*COS(RADIANS((J5+K6/60)*6))</f>
        <v>-1.3681801742584097</v>
      </c>
    </row>
    <row r="6" spans="1:13" ht="15.75" thickBot="1" x14ac:dyDescent="0.3">
      <c r="I6" s="6" t="s">
        <v>2</v>
      </c>
      <c r="J6" s="7">
        <f ca="1">SECOND(B2)</f>
        <v>33</v>
      </c>
      <c r="K6" s="12">
        <v>2</v>
      </c>
      <c r="L6" s="6">
        <f ca="1">K6*SIN(RADIANS(J6*6))</f>
        <v>-0.61803398874989457</v>
      </c>
      <c r="M6" s="6">
        <f ca="1">K6*COS(RADIANS(J6*6))</f>
        <v>-1.9021130325903073</v>
      </c>
    </row>
    <row r="7" spans="1:13" x14ac:dyDescent="0.25">
      <c r="I7" s="2"/>
      <c r="J7" s="17" t="s">
        <v>6</v>
      </c>
      <c r="K7" s="18"/>
      <c r="L7" s="8">
        <v>0</v>
      </c>
      <c r="M7" s="9">
        <v>0</v>
      </c>
    </row>
    <row r="8" spans="1:13" x14ac:dyDescent="0.25">
      <c r="I8" s="2"/>
      <c r="J8" s="3"/>
      <c r="K8" s="2"/>
      <c r="L8" s="2"/>
      <c r="M8" s="2"/>
    </row>
    <row r="9" spans="1:13" x14ac:dyDescent="0.25">
      <c r="I9" s="2"/>
      <c r="J9" s="3"/>
      <c r="K9" s="2"/>
      <c r="L9" s="2"/>
      <c r="M9" s="2"/>
    </row>
    <row r="10" spans="1:13" x14ac:dyDescent="0.25">
      <c r="I10" s="2"/>
      <c r="J10" s="3"/>
      <c r="K10" s="2"/>
      <c r="L10" s="2"/>
      <c r="M10" s="2"/>
    </row>
    <row r="11" spans="1:13" x14ac:dyDescent="0.25">
      <c r="I11" s="2"/>
      <c r="J11" s="3"/>
      <c r="K11" s="2"/>
      <c r="L11" s="2"/>
      <c r="M11" s="2"/>
    </row>
    <row r="12" spans="1:13" x14ac:dyDescent="0.25">
      <c r="I12" s="2"/>
      <c r="J12" s="3"/>
      <c r="K12" s="2"/>
      <c r="L12" s="2"/>
      <c r="M12" s="2"/>
    </row>
    <row r="13" spans="1:13" x14ac:dyDescent="0.25">
      <c r="I13" s="2"/>
      <c r="J13" s="3"/>
      <c r="K13" s="2"/>
      <c r="L13" s="2"/>
      <c r="M13" s="2"/>
    </row>
    <row r="14" spans="1:13" x14ac:dyDescent="0.25">
      <c r="I14" s="2"/>
      <c r="J14" s="3"/>
      <c r="K14" s="2"/>
      <c r="L14" s="2"/>
      <c r="M14" s="2"/>
    </row>
    <row r="15" spans="1:13" x14ac:dyDescent="0.25">
      <c r="I15" s="2"/>
      <c r="J15" s="3"/>
      <c r="K15" s="2"/>
      <c r="L15" s="2"/>
      <c r="M15" s="2"/>
    </row>
    <row r="16" spans="1:13" x14ac:dyDescent="0.25">
      <c r="I16" s="2"/>
      <c r="J16" s="3"/>
      <c r="K16" s="2"/>
      <c r="L16" s="2"/>
      <c r="M16" s="2"/>
    </row>
  </sheetData>
  <mergeCells count="2">
    <mergeCell ref="B2:G2"/>
    <mergeCell ref="J7:K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6"/>
  <sheetViews>
    <sheetView tabSelected="1" topLeftCell="B1" workbookViewId="0">
      <selection activeCell="L14" sqref="L14"/>
    </sheetView>
  </sheetViews>
  <sheetFormatPr defaultRowHeight="15" x14ac:dyDescent="0.25"/>
  <cols>
    <col min="1" max="1" width="1.42578125" customWidth="1"/>
    <col min="10" max="10" width="9.140625" style="1"/>
    <col min="11" max="11" width="9.140625" customWidth="1"/>
    <col min="12" max="13" width="12.85546875" customWidth="1"/>
  </cols>
  <sheetData>
    <row r="1" spans="1:13" ht="7.5" customHeight="1" x14ac:dyDescent="0.25"/>
    <row r="2" spans="1:13" ht="59.25" x14ac:dyDescent="0.75">
      <c r="A2" s="4">
        <v>0.59703703703703703</v>
      </c>
      <c r="B2" s="16">
        <f ca="1">NOW()</f>
        <v>41270.648992824077</v>
      </c>
      <c r="C2" s="16"/>
      <c r="D2" s="16"/>
      <c r="E2" s="16"/>
      <c r="F2" s="16"/>
      <c r="G2" s="16"/>
    </row>
    <row r="3" spans="1:13" x14ac:dyDescent="0.25">
      <c r="I3" s="14"/>
      <c r="J3" s="15"/>
      <c r="K3" s="13" t="s">
        <v>3</v>
      </c>
      <c r="L3" s="13" t="s">
        <v>5</v>
      </c>
      <c r="M3" s="13" t="s">
        <v>4</v>
      </c>
    </row>
    <row r="4" spans="1:13" x14ac:dyDescent="0.25">
      <c r="I4" s="2" t="s">
        <v>0</v>
      </c>
      <c r="J4" s="5">
        <f ca="1">IF(HOUR(B2)&gt;12,HOUR(B2)-12,HOUR(B2))</f>
        <v>3</v>
      </c>
      <c r="K4" s="10">
        <v>1</v>
      </c>
      <c r="L4" s="2">
        <f ca="1">K4*SIN(RADIANS((J4+K5/60+K6/3600)*30))</f>
        <v>0.99991047766070273</v>
      </c>
      <c r="M4" s="2">
        <f ca="1">K4*COS(RADIANS((J4+K5/60+K6/3600)*30))</f>
        <v>-1.3380458301015329E-2</v>
      </c>
    </row>
    <row r="5" spans="1:13" x14ac:dyDescent="0.25">
      <c r="I5" s="2" t="s">
        <v>1</v>
      </c>
      <c r="J5" s="5">
        <f ca="1">MINUTE(B2)</f>
        <v>34</v>
      </c>
      <c r="K5" s="11">
        <v>1.5</v>
      </c>
      <c r="L5" s="2">
        <f ca="1">K5*SIN(RADIANS((J5+K6/60)*6))</f>
        <v>-0.61488455076235882</v>
      </c>
      <c r="M5" s="2">
        <f ca="1">K5*COS(RADIANS((J5+K6/60)*6))</f>
        <v>-1.3681801742584097</v>
      </c>
    </row>
    <row r="6" spans="1:13" ht="15.75" thickBot="1" x14ac:dyDescent="0.3">
      <c r="I6" s="6" t="s">
        <v>2</v>
      </c>
      <c r="J6" s="7">
        <f ca="1">SECOND(B2)</f>
        <v>33</v>
      </c>
      <c r="K6" s="12">
        <v>2</v>
      </c>
      <c r="L6" s="6">
        <f ca="1">K6*SIN(RADIANS(J6*6))</f>
        <v>-0.61803398874989457</v>
      </c>
      <c r="M6" s="6">
        <f ca="1">K6*COS(RADIANS(J6*6))</f>
        <v>-1.9021130325903073</v>
      </c>
    </row>
    <row r="7" spans="1:13" x14ac:dyDescent="0.25">
      <c r="I7" s="2"/>
      <c r="J7" s="17" t="s">
        <v>6</v>
      </c>
      <c r="K7" s="18"/>
      <c r="L7" s="8">
        <v>0</v>
      </c>
      <c r="M7" s="9">
        <v>0</v>
      </c>
    </row>
    <row r="8" spans="1:13" x14ac:dyDescent="0.25">
      <c r="I8" s="2"/>
      <c r="J8" s="3"/>
      <c r="K8" s="2"/>
      <c r="L8" s="2"/>
      <c r="M8" s="2"/>
    </row>
    <row r="9" spans="1:13" x14ac:dyDescent="0.25">
      <c r="I9" s="2"/>
      <c r="J9" s="3"/>
      <c r="K9" s="2"/>
      <c r="L9" s="2"/>
      <c r="M9" s="2"/>
    </row>
    <row r="10" spans="1:13" x14ac:dyDescent="0.25">
      <c r="I10" s="2"/>
      <c r="J10" s="3"/>
      <c r="K10" s="2"/>
      <c r="L10" s="2"/>
      <c r="M10" s="2"/>
    </row>
    <row r="11" spans="1:13" x14ac:dyDescent="0.25">
      <c r="I11" s="2"/>
      <c r="J11" s="3"/>
      <c r="K11" s="2"/>
      <c r="L11" s="2"/>
      <c r="M11" s="2"/>
    </row>
    <row r="12" spans="1:13" x14ac:dyDescent="0.25">
      <c r="I12" s="2"/>
      <c r="J12" s="3"/>
      <c r="K12" s="2"/>
      <c r="L12" s="2"/>
      <c r="M12" s="2"/>
    </row>
    <row r="13" spans="1:13" x14ac:dyDescent="0.25">
      <c r="I13" s="2"/>
      <c r="J13" s="3"/>
      <c r="K13" s="2"/>
      <c r="L13" s="2"/>
      <c r="M13" s="2"/>
    </row>
    <row r="14" spans="1:13" x14ac:dyDescent="0.25">
      <c r="I14" s="2"/>
      <c r="J14" s="3"/>
      <c r="K14" s="2"/>
      <c r="L14" s="2"/>
      <c r="M14" s="2"/>
    </row>
    <row r="15" spans="1:13" x14ac:dyDescent="0.25">
      <c r="I15" s="2"/>
      <c r="J15" s="3"/>
      <c r="K15" s="2"/>
      <c r="L15" s="2"/>
      <c r="M15" s="2"/>
    </row>
    <row r="16" spans="1:13" x14ac:dyDescent="0.25">
      <c r="I16" s="2"/>
      <c r="J16" s="3"/>
      <c r="K16" s="2"/>
      <c r="L16" s="2"/>
      <c r="M16" s="2"/>
    </row>
  </sheetData>
  <mergeCells count="2">
    <mergeCell ref="B2:G2"/>
    <mergeCell ref="J7:K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AnalogClock</vt:lpstr>
      <vt:lpstr>AnalogClock (2)</vt:lpstr>
      <vt:lpstr>AnalogClock (3)</vt:lpstr>
      <vt:lpstr>AnalogClock (4)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 Naseem</cp:lastModifiedBy>
  <dcterms:created xsi:type="dcterms:W3CDTF">2012-12-25T16:05:56Z</dcterms:created>
  <dcterms:modified xsi:type="dcterms:W3CDTF">2012-12-27T10:34:33Z</dcterms:modified>
</cp:coreProperties>
</file>