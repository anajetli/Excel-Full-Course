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BackUP\Excel-Jun01,2013\Excel-Book\Excel-Book(May06,2013)\ExcelBookChap\Chapter-02-Graph\"/>
    </mc:Choice>
  </mc:AlternateContent>
  <bookViews>
    <workbookView xWindow="240" yWindow="105" windowWidth="15600" windowHeight="10050" activeTab="1"/>
  </bookViews>
  <sheets>
    <sheet name="MotionChart" sheetId="7" r:id="rId1"/>
    <sheet name="MotionChart (2)" sheetId="8" r:id="rId2"/>
  </sheets>
  <definedNames>
    <definedName name="ColNum">'MotionChart (2)'!$H$35</definedName>
    <definedName name="RowNum">'MotionChart (2)'!$H$34</definedName>
  </definedNames>
  <calcPr calcId="152511"/>
</workbook>
</file>

<file path=xl/calcChain.xml><?xml version="1.0" encoding="utf-8"?>
<calcChain xmlns="http://schemas.openxmlformats.org/spreadsheetml/2006/main">
  <c r="Q38" i="8" l="1"/>
  <c r="O38" i="8"/>
  <c r="N38" i="8"/>
  <c r="M38" i="8"/>
  <c r="K38" i="8"/>
  <c r="J38" i="8"/>
  <c r="H38" i="8"/>
  <c r="Q37" i="8"/>
  <c r="O37" i="8"/>
  <c r="N37" i="8"/>
  <c r="M37" i="8"/>
  <c r="K37" i="8"/>
  <c r="J37" i="8"/>
  <c r="H37" i="8"/>
  <c r="G38" i="8"/>
  <c r="G37" i="8"/>
  <c r="G39" i="8" l="1"/>
  <c r="O39" i="8"/>
  <c r="M39" i="8"/>
  <c r="K39" i="8"/>
  <c r="J39" i="8"/>
  <c r="H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L3" i="8"/>
  <c r="L5" i="8" s="1"/>
  <c r="L38" i="8" s="1"/>
  <c r="K3" i="8"/>
  <c r="K4" i="8" s="1"/>
  <c r="J3" i="8"/>
  <c r="J5" i="8" s="1"/>
  <c r="I3" i="8"/>
  <c r="I4" i="8" s="1"/>
  <c r="I37" i="8" s="1"/>
  <c r="H3" i="8"/>
  <c r="H5" i="8" s="1"/>
  <c r="G3" i="8"/>
  <c r="G4" i="8" s="1"/>
  <c r="E3" i="8"/>
  <c r="M2" i="8"/>
  <c r="R3" i="8" s="1"/>
  <c r="R5" i="8" l="1"/>
  <c r="R38" i="8" s="1"/>
  <c r="R4" i="8"/>
  <c r="R37" i="8" s="1"/>
  <c r="M3" i="8"/>
  <c r="O3" i="8"/>
  <c r="Q3" i="8"/>
  <c r="H4" i="8"/>
  <c r="H6" i="8" s="1"/>
  <c r="J4" i="8"/>
  <c r="J6" i="8" s="1"/>
  <c r="L4" i="8"/>
  <c r="G5" i="8"/>
  <c r="G6" i="8" s="1"/>
  <c r="I5" i="8"/>
  <c r="K5" i="8"/>
  <c r="K6" i="8" s="1"/>
  <c r="G7" i="8"/>
  <c r="N3" i="8"/>
  <c r="P3" i="8"/>
  <c r="M2" i="7"/>
  <c r="N3" i="7" s="1"/>
  <c r="N5" i="7" s="1"/>
  <c r="H3" i="7"/>
  <c r="H5" i="7" s="1"/>
  <c r="I3" i="7"/>
  <c r="I5" i="7" s="1"/>
  <c r="J3" i="7"/>
  <c r="J5" i="7" s="1"/>
  <c r="K3" i="7"/>
  <c r="K5" i="7" s="1"/>
  <c r="L3" i="7"/>
  <c r="L5" i="7" s="1"/>
  <c r="G3" i="7"/>
  <c r="G5" i="7" s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I6" i="8" l="1"/>
  <c r="I38" i="8"/>
  <c r="I39" i="8" s="1"/>
  <c r="L6" i="8"/>
  <c r="L37" i="8"/>
  <c r="L39" i="8" s="1"/>
  <c r="R39" i="8"/>
  <c r="R6" i="8"/>
  <c r="O4" i="8"/>
  <c r="O5" i="8"/>
  <c r="P5" i="8"/>
  <c r="P38" i="8" s="1"/>
  <c r="P4" i="8"/>
  <c r="P37" i="8" s="1"/>
  <c r="N5" i="8"/>
  <c r="N4" i="8"/>
  <c r="Q4" i="8"/>
  <c r="Q5" i="8"/>
  <c r="M4" i="8"/>
  <c r="M5" i="8"/>
  <c r="G7" i="7"/>
  <c r="N4" i="7"/>
  <c r="L4" i="7"/>
  <c r="J4" i="7"/>
  <c r="H4" i="7"/>
  <c r="G4" i="7"/>
  <c r="K4" i="7"/>
  <c r="I4" i="7"/>
  <c r="M3" i="7"/>
  <c r="Q3" i="7"/>
  <c r="O3" i="7"/>
  <c r="R3" i="7"/>
  <c r="P3" i="7"/>
  <c r="P39" i="8" l="1"/>
  <c r="N39" i="8"/>
  <c r="N6" i="8"/>
  <c r="Q39" i="8"/>
  <c r="O6" i="8"/>
  <c r="P6" i="8"/>
  <c r="M6" i="8"/>
  <c r="Q6" i="8"/>
  <c r="M5" i="7"/>
  <c r="M4" i="7"/>
  <c r="P5" i="7"/>
  <c r="P4" i="7"/>
  <c r="O5" i="7"/>
  <c r="O4" i="7"/>
  <c r="R5" i="7"/>
  <c r="R4" i="7"/>
  <c r="Q5" i="7"/>
  <c r="Q4" i="7"/>
</calcChain>
</file>

<file path=xl/sharedStrings.xml><?xml version="1.0" encoding="utf-8"?>
<sst xmlns="http://schemas.openxmlformats.org/spreadsheetml/2006/main" count="14" uniqueCount="6">
  <si>
    <t>Total</t>
  </si>
  <si>
    <t>Month</t>
  </si>
  <si>
    <t>1 to 15</t>
  </si>
  <si>
    <t>16 to 30</t>
  </si>
  <si>
    <t>Row</t>
  </si>
  <si>
    <t>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</si>
</sst>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#,##0;#,##0"/>
    <numFmt numFmtId="166" formatCode="m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8"/>
      <name val="Arial"/>
      <family val="2"/>
    </font>
    <font>
      <u/>
      <sz val="10"/>
      <color indexed="8"/>
      <name val="Calibri"/>
      <family val="1"/>
      <charset val="204"/>
    </font>
    <font>
      <sz val="8"/>
      <color theme="1"/>
      <name val="Calibri"/>
      <family val="2"/>
      <scheme val="minor"/>
    </font>
    <font>
      <u/>
      <sz val="8"/>
      <color indexed="8"/>
      <name val="Calibri"/>
      <family val="2"/>
    </font>
    <font>
      <sz val="8"/>
      <color theme="0"/>
      <name val="Calibri"/>
      <family val="2"/>
      <scheme val="minor"/>
    </font>
    <font>
      <b/>
      <sz val="24"/>
      <color theme="1"/>
      <name val="Cambria"/>
      <family val="1"/>
      <scheme val="major"/>
    </font>
    <font>
      <sz val="8"/>
      <color indexed="8"/>
      <name val="Calibri"/>
      <family val="2"/>
    </font>
    <font>
      <b/>
      <sz val="24"/>
      <color theme="0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2">
    <xf numFmtId="0" fontId="0" fillId="0" borderId="0" xfId="0"/>
    <xf numFmtId="0" fontId="5" fillId="0" borderId="0" xfId="0" applyFont="1" applyAlignment="1">
      <alignment horizontal="center" vertical="top"/>
    </xf>
    <xf numFmtId="165" fontId="4" fillId="0" borderId="0" xfId="0" applyNumberFormat="1" applyFont="1" applyAlignment="1">
      <alignment horizontal="center" vertical="top"/>
    </xf>
    <xf numFmtId="0" fontId="2" fillId="0" borderId="0" xfId="0" applyFont="1"/>
    <xf numFmtId="164" fontId="2" fillId="0" borderId="0" xfId="1" applyNumberFormat="1" applyFont="1"/>
    <xf numFmtId="17" fontId="2" fillId="0" borderId="0" xfId="0" applyNumberFormat="1" applyFont="1"/>
    <xf numFmtId="0" fontId="2" fillId="0" borderId="0" xfId="0" applyFont="1" applyAlignment="1">
      <alignment horizontal="center"/>
    </xf>
    <xf numFmtId="17" fontId="2" fillId="0" borderId="2" xfId="0" applyNumberFormat="1" applyFont="1" applyBorder="1" applyAlignment="1">
      <alignment horizontal="center"/>
    </xf>
    <xf numFmtId="17" fontId="2" fillId="0" borderId="3" xfId="0" applyNumberFormat="1" applyFont="1" applyBorder="1" applyAlignment="1">
      <alignment horizontal="center"/>
    </xf>
    <xf numFmtId="164" fontId="2" fillId="0" borderId="2" xfId="1" applyNumberFormat="1" applyFont="1" applyBorder="1"/>
    <xf numFmtId="164" fontId="2" fillId="0" borderId="3" xfId="1" applyNumberFormat="1" applyFont="1" applyBorder="1"/>
    <xf numFmtId="17" fontId="3" fillId="0" borderId="1" xfId="0" applyNumberFormat="1" applyFont="1" applyFill="1" applyBorder="1" applyAlignment="1">
      <alignment horizontal="center"/>
    </xf>
    <xf numFmtId="164" fontId="3" fillId="0" borderId="1" xfId="1" applyNumberFormat="1" applyFont="1" applyFill="1" applyBorder="1" applyAlignment="1">
      <alignment horizontal="center"/>
    </xf>
    <xf numFmtId="164" fontId="6" fillId="0" borderId="0" xfId="1" applyNumberFormat="1" applyFont="1"/>
    <xf numFmtId="164" fontId="7" fillId="0" borderId="0" xfId="1" applyNumberFormat="1" applyFont="1" applyAlignment="1">
      <alignment horizontal="center" vertical="top"/>
    </xf>
    <xf numFmtId="166" fontId="2" fillId="0" borderId="4" xfId="0" applyNumberFormat="1" applyFont="1" applyBorder="1" applyAlignment="1">
      <alignment horizontal="center"/>
    </xf>
    <xf numFmtId="0" fontId="8" fillId="0" borderId="0" xfId="0" applyFont="1"/>
    <xf numFmtId="166" fontId="2" fillId="0" borderId="5" xfId="0" applyNumberFormat="1" applyFont="1" applyBorder="1" applyAlignment="1">
      <alignment horizontal="center"/>
    </xf>
    <xf numFmtId="164" fontId="6" fillId="0" borderId="0" xfId="1" applyNumberFormat="1" applyFont="1" applyBorder="1"/>
    <xf numFmtId="164" fontId="6" fillId="0" borderId="3" xfId="1" applyNumberFormat="1" applyFont="1" applyBorder="1"/>
    <xf numFmtId="0" fontId="6" fillId="0" borderId="3" xfId="0" applyFont="1" applyBorder="1" applyAlignment="1">
      <alignment horizontal="center"/>
    </xf>
    <xf numFmtId="164" fontId="6" fillId="0" borderId="9" xfId="1" applyNumberFormat="1" applyFont="1" applyBorder="1"/>
    <xf numFmtId="164" fontId="6" fillId="0" borderId="4" xfId="1" applyNumberFormat="1" applyFont="1" applyBorder="1"/>
    <xf numFmtId="164" fontId="6" fillId="0" borderId="5" xfId="1" applyNumberFormat="1" applyFont="1" applyBorder="1"/>
    <xf numFmtId="164" fontId="6" fillId="0" borderId="10" xfId="1" applyNumberFormat="1" applyFont="1" applyBorder="1"/>
    <xf numFmtId="164" fontId="10" fillId="0" borderId="10" xfId="1" applyNumberFormat="1" applyFont="1" applyBorder="1" applyAlignment="1">
      <alignment horizontal="center" vertical="top"/>
    </xf>
    <xf numFmtId="164" fontId="6" fillId="0" borderId="10" xfId="0" applyNumberFormat="1" applyFont="1" applyBorder="1"/>
    <xf numFmtId="1" fontId="3" fillId="2" borderId="6" xfId="0" quotePrefix="1" applyNumberFormat="1" applyFont="1" applyFill="1" applyBorder="1" applyAlignment="1">
      <alignment horizontal="center"/>
    </xf>
    <xf numFmtId="1" fontId="3" fillId="2" borderId="7" xfId="0" quotePrefix="1" applyNumberFormat="1" applyFont="1" applyFill="1" applyBorder="1" applyAlignment="1">
      <alignment horizontal="center"/>
    </xf>
    <xf numFmtId="1" fontId="3" fillId="2" borderId="8" xfId="0" quotePrefix="1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1" fillId="3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0000"/>
      <color rgb="FFF8F8F8"/>
      <color rgb="FFFFFF99"/>
      <color rgb="FFFFE38B"/>
      <color rgb="FFFFC000"/>
      <color rgb="FFC0504D"/>
      <color rgb="FFD841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MotionChart!$F$4</c:f>
              <c:strCache>
                <c:ptCount val="1"/>
                <c:pt idx="0">
                  <c:v>1 to 15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MotionChart!$G$3:$R$3</c:f>
              <c:numCache>
                <c:formatCode>mmm</c:formatCode>
                <c:ptCount val="12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  <c:pt idx="6">
                  <c:v>40544</c:v>
                </c:pt>
                <c:pt idx="7">
                  <c:v>40575</c:v>
                </c:pt>
                <c:pt idx="8">
                  <c:v>40603</c:v>
                </c:pt>
                <c:pt idx="9">
                  <c:v>40634</c:v>
                </c:pt>
                <c:pt idx="10">
                  <c:v>40664</c:v>
                </c:pt>
                <c:pt idx="11">
                  <c:v>40695</c:v>
                </c:pt>
              </c:numCache>
            </c:numRef>
          </c:cat>
          <c:val>
            <c:numRef>
              <c:f>MotionChart!$G$4:$R$4</c:f>
              <c:numCache>
                <c:formatCode>_(* #,##0_);_(* \(#,##0\);_(* "-"??_);_(@_)</c:formatCode>
                <c:ptCount val="12"/>
                <c:pt idx="0">
                  <c:v>72502</c:v>
                </c:pt>
                <c:pt idx="1">
                  <c:v>72502</c:v>
                </c:pt>
                <c:pt idx="2">
                  <c:v>55687</c:v>
                </c:pt>
                <c:pt idx="3">
                  <c:v>55479</c:v>
                </c:pt>
                <c:pt idx="4">
                  <c:v>54236</c:v>
                </c:pt>
                <c:pt idx="5">
                  <c:v>52345</c:v>
                </c:pt>
                <c:pt idx="6">
                  <c:v>49856</c:v>
                </c:pt>
                <c:pt idx="7">
                  <c:v>86523</c:v>
                </c:pt>
                <c:pt idx="8">
                  <c:v>76584</c:v>
                </c:pt>
                <c:pt idx="9">
                  <c:v>68452</c:v>
                </c:pt>
                <c:pt idx="10">
                  <c:v>56984</c:v>
                </c:pt>
                <c:pt idx="11">
                  <c:v>65423</c:v>
                </c:pt>
              </c:numCache>
            </c:numRef>
          </c:val>
        </c:ser>
        <c:ser>
          <c:idx val="1"/>
          <c:order val="1"/>
          <c:tx>
            <c:strRef>
              <c:f>MotionChart!$F$5</c:f>
              <c:strCache>
                <c:ptCount val="1"/>
                <c:pt idx="0">
                  <c:v>16 to 30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MotionChart!$G$3:$R$3</c:f>
              <c:numCache>
                <c:formatCode>mmm</c:formatCode>
                <c:ptCount val="12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  <c:pt idx="6">
                  <c:v>40544</c:v>
                </c:pt>
                <c:pt idx="7">
                  <c:v>40575</c:v>
                </c:pt>
                <c:pt idx="8">
                  <c:v>40603</c:v>
                </c:pt>
                <c:pt idx="9">
                  <c:v>40634</c:v>
                </c:pt>
                <c:pt idx="10">
                  <c:v>40664</c:v>
                </c:pt>
                <c:pt idx="11">
                  <c:v>40695</c:v>
                </c:pt>
              </c:numCache>
            </c:numRef>
          </c:cat>
          <c:val>
            <c:numRef>
              <c:f>MotionChart!$G$5:$R$5</c:f>
              <c:numCache>
                <c:formatCode>_(* #,##0_);_(* \(#,##0\);_(* "-"??_);_(@_)</c:formatCode>
                <c:ptCount val="12"/>
                <c:pt idx="0">
                  <c:v>65874</c:v>
                </c:pt>
                <c:pt idx="1">
                  <c:v>74526</c:v>
                </c:pt>
                <c:pt idx="2">
                  <c:v>35426</c:v>
                </c:pt>
                <c:pt idx="3">
                  <c:v>47582</c:v>
                </c:pt>
                <c:pt idx="4">
                  <c:v>75421</c:v>
                </c:pt>
                <c:pt idx="5">
                  <c:v>85426</c:v>
                </c:pt>
                <c:pt idx="6">
                  <c:v>32567</c:v>
                </c:pt>
                <c:pt idx="7">
                  <c:v>85421</c:v>
                </c:pt>
                <c:pt idx="8">
                  <c:v>75648</c:v>
                </c:pt>
                <c:pt idx="9">
                  <c:v>65478</c:v>
                </c:pt>
                <c:pt idx="10">
                  <c:v>74258</c:v>
                </c:pt>
                <c:pt idx="11">
                  <c:v>69847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59069144"/>
        <c:axId val="259068360"/>
      </c:barChart>
      <c:dateAx>
        <c:axId val="259069144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crossAx val="259068360"/>
        <c:crosses val="autoZero"/>
        <c:auto val="1"/>
        <c:lblOffset val="100"/>
        <c:baseTimeUnit val="months"/>
      </c:dateAx>
      <c:valAx>
        <c:axId val="259068360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259069144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legend>
      <c:legendPos val="r"/>
      <c:layout>
        <c:manualLayout>
          <c:xMode val="edge"/>
          <c:yMode val="edge"/>
          <c:x val="0.87464549431321081"/>
          <c:y val="0.79479482038914873"/>
          <c:w val="0.11202117235345582"/>
          <c:h val="0.17793764709300636"/>
        </c:manualLayout>
      </c:layout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'MotionChart (2)'!$F$4</c:f>
              <c:strCache>
                <c:ptCount val="1"/>
                <c:pt idx="0">
                  <c:v>1 to 15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'MotionChart (2)'!$G$3:$R$3</c:f>
              <c:numCache>
                <c:formatCode>mmm</c:formatCode>
                <c:ptCount val="12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  <c:pt idx="6">
                  <c:v>40544</c:v>
                </c:pt>
                <c:pt idx="7">
                  <c:v>40575</c:v>
                </c:pt>
                <c:pt idx="8">
                  <c:v>40603</c:v>
                </c:pt>
                <c:pt idx="9">
                  <c:v>40634</c:v>
                </c:pt>
                <c:pt idx="10">
                  <c:v>40664</c:v>
                </c:pt>
                <c:pt idx="11">
                  <c:v>40695</c:v>
                </c:pt>
              </c:numCache>
            </c:numRef>
          </c:cat>
          <c:val>
            <c:numRef>
              <c:f>'MotionChart (2)'!$G$4:$R$4</c:f>
              <c:numCache>
                <c:formatCode>_(* #,##0_);_(* \(#,##0\);_(* "-"??_);_(@_)</c:formatCode>
                <c:ptCount val="12"/>
                <c:pt idx="0">
                  <c:v>72502</c:v>
                </c:pt>
                <c:pt idx="1">
                  <c:v>72502</c:v>
                </c:pt>
                <c:pt idx="2">
                  <c:v>55687</c:v>
                </c:pt>
                <c:pt idx="3">
                  <c:v>55479</c:v>
                </c:pt>
                <c:pt idx="4">
                  <c:v>54236</c:v>
                </c:pt>
                <c:pt idx="5">
                  <c:v>52345</c:v>
                </c:pt>
                <c:pt idx="6">
                  <c:v>49856</c:v>
                </c:pt>
                <c:pt idx="7">
                  <c:v>86523</c:v>
                </c:pt>
                <c:pt idx="8">
                  <c:v>76584</c:v>
                </c:pt>
                <c:pt idx="9">
                  <c:v>68452</c:v>
                </c:pt>
                <c:pt idx="10">
                  <c:v>56984</c:v>
                </c:pt>
                <c:pt idx="11">
                  <c:v>65423</c:v>
                </c:pt>
              </c:numCache>
            </c:numRef>
          </c:val>
        </c:ser>
        <c:ser>
          <c:idx val="1"/>
          <c:order val="1"/>
          <c:tx>
            <c:strRef>
              <c:f>'MotionChart (2)'!$F$5</c:f>
              <c:strCache>
                <c:ptCount val="1"/>
                <c:pt idx="0">
                  <c:v>16 to 30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'MotionChart (2)'!$G$3:$R$3</c:f>
              <c:numCache>
                <c:formatCode>mmm</c:formatCode>
                <c:ptCount val="12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  <c:pt idx="6">
                  <c:v>40544</c:v>
                </c:pt>
                <c:pt idx="7">
                  <c:v>40575</c:v>
                </c:pt>
                <c:pt idx="8">
                  <c:v>40603</c:v>
                </c:pt>
                <c:pt idx="9">
                  <c:v>40634</c:v>
                </c:pt>
                <c:pt idx="10">
                  <c:v>40664</c:v>
                </c:pt>
                <c:pt idx="11">
                  <c:v>40695</c:v>
                </c:pt>
              </c:numCache>
            </c:numRef>
          </c:cat>
          <c:val>
            <c:numRef>
              <c:f>'MotionChart (2)'!$G$5:$R$5</c:f>
              <c:numCache>
                <c:formatCode>_(* #,##0_);_(* \(#,##0\);_(* "-"??_);_(@_)</c:formatCode>
                <c:ptCount val="12"/>
                <c:pt idx="0">
                  <c:v>65874</c:v>
                </c:pt>
                <c:pt idx="1">
                  <c:v>74526</c:v>
                </c:pt>
                <c:pt idx="2">
                  <c:v>35426</c:v>
                </c:pt>
                <c:pt idx="3">
                  <c:v>47582</c:v>
                </c:pt>
                <c:pt idx="4">
                  <c:v>75421</c:v>
                </c:pt>
                <c:pt idx="5">
                  <c:v>85426</c:v>
                </c:pt>
                <c:pt idx="6">
                  <c:v>32567</c:v>
                </c:pt>
                <c:pt idx="7">
                  <c:v>85421</c:v>
                </c:pt>
                <c:pt idx="8">
                  <c:v>75648</c:v>
                </c:pt>
                <c:pt idx="9">
                  <c:v>65478</c:v>
                </c:pt>
                <c:pt idx="10">
                  <c:v>74258</c:v>
                </c:pt>
                <c:pt idx="11">
                  <c:v>69847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59069536"/>
        <c:axId val="259066008"/>
      </c:barChart>
      <c:barChart>
        <c:barDir val="col"/>
        <c:grouping val="clustered"/>
        <c:varyColors val="0"/>
        <c:ser>
          <c:idx val="3"/>
          <c:order val="2"/>
          <c:spPr>
            <a:solidFill>
              <a:srgbClr val="000000">
                <a:alpha val="20000"/>
              </a:srgbClr>
            </a:solidFill>
            <a:ln w="25400" cap="flat" cmpd="sng" algn="ctr">
              <a:solidFill>
                <a:sysClr val="windowText" lastClr="000000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'MotionChart (2)'!$G$3:$R$3</c:f>
              <c:numCache>
                <c:formatCode>mmm</c:formatCode>
                <c:ptCount val="12"/>
                <c:pt idx="0">
                  <c:v>40360</c:v>
                </c:pt>
                <c:pt idx="1">
                  <c:v>40391</c:v>
                </c:pt>
                <c:pt idx="2">
                  <c:v>40422</c:v>
                </c:pt>
                <c:pt idx="3">
                  <c:v>40452</c:v>
                </c:pt>
                <c:pt idx="4">
                  <c:v>40483</c:v>
                </c:pt>
                <c:pt idx="5">
                  <c:v>40513</c:v>
                </c:pt>
                <c:pt idx="6">
                  <c:v>40544</c:v>
                </c:pt>
                <c:pt idx="7">
                  <c:v>40575</c:v>
                </c:pt>
                <c:pt idx="8">
                  <c:v>40603</c:v>
                </c:pt>
                <c:pt idx="9">
                  <c:v>40634</c:v>
                </c:pt>
                <c:pt idx="10">
                  <c:v>40664</c:v>
                </c:pt>
                <c:pt idx="11">
                  <c:v>40695</c:v>
                </c:pt>
              </c:numCache>
            </c:numRef>
          </c:cat>
          <c:val>
            <c:numRef>
              <c:f>'MotionChart (2)'!$G$39:$R$39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"/>
        <c:overlap val="33"/>
        <c:axId val="269613008"/>
        <c:axId val="269614576"/>
      </c:barChart>
      <c:dateAx>
        <c:axId val="259069536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crossAx val="259066008"/>
        <c:crosses val="autoZero"/>
        <c:auto val="1"/>
        <c:lblOffset val="100"/>
        <c:baseTimeUnit val="months"/>
      </c:dateAx>
      <c:valAx>
        <c:axId val="25906600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259069536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26961457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extTo"/>
        <c:crossAx val="269613008"/>
        <c:crosses val="max"/>
        <c:crossBetween val="between"/>
      </c:valAx>
      <c:dateAx>
        <c:axId val="269613008"/>
        <c:scaling>
          <c:orientation val="minMax"/>
        </c:scaling>
        <c:delete val="1"/>
        <c:axPos val="b"/>
        <c:numFmt formatCode="mmm" sourceLinked="1"/>
        <c:majorTickMark val="out"/>
        <c:minorTickMark val="none"/>
        <c:tickLblPos val="nextTo"/>
        <c:crossAx val="269614576"/>
        <c:crosses val="autoZero"/>
        <c:auto val="1"/>
        <c:lblOffset val="100"/>
        <c:baseTimeUnit val="months"/>
      </c:dateAx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7464549431321081"/>
          <c:y val="0.79479482038914873"/>
          <c:w val="0.11202117235345582"/>
          <c:h val="0.20520517961085122"/>
        </c:manualLayout>
      </c:layout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G$2" horiz="1" max="2010" min="2008" page="10" val="2010"/>
</file>

<file path=xl/ctrlProps/ctrlProp2.xml><?xml version="1.0" encoding="utf-8"?>
<formControlPr xmlns="http://schemas.microsoft.com/office/spreadsheetml/2009/9/main" objectType="Scroll" dx="16" fmlaLink="$G$2" horiz="1" max="2010" min="2008" page="10" val="20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7</xdr:row>
      <xdr:rowOff>0</xdr:rowOff>
    </xdr:from>
    <xdr:to>
      <xdr:col>18</xdr:col>
      <xdr:colOff>0</xdr:colOff>
      <xdr:row>22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19050</xdr:rowOff>
        </xdr:from>
        <xdr:to>
          <xdr:col>17</xdr:col>
          <xdr:colOff>466725</xdr:colOff>
          <xdr:row>24</xdr:row>
          <xdr:rowOff>19050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7</xdr:row>
      <xdr:rowOff>0</xdr:rowOff>
    </xdr:from>
    <xdr:to>
      <xdr:col>18</xdr:col>
      <xdr:colOff>0</xdr:colOff>
      <xdr:row>22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19050</xdr:rowOff>
        </xdr:from>
        <xdr:to>
          <xdr:col>17</xdr:col>
          <xdr:colOff>466725</xdr:colOff>
          <xdr:row>24</xdr:row>
          <xdr:rowOff>19050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38"/>
  <sheetViews>
    <sheetView topLeftCell="E1" zoomScale="110" zoomScaleNormal="110" workbookViewId="0">
      <selection activeCell="S8" sqref="S8"/>
    </sheetView>
  </sheetViews>
  <sheetFormatPr defaultRowHeight="12.75" x14ac:dyDescent="0.2"/>
  <cols>
    <col min="1" max="1" width="1.42578125" style="3" customWidth="1"/>
    <col min="2" max="2" width="9.140625" style="6"/>
    <col min="3" max="3" width="10.5703125" style="4" bestFit="1" customWidth="1"/>
    <col min="4" max="5" width="9.140625" style="4"/>
    <col min="6" max="6" width="9.140625" style="3"/>
    <col min="7" max="18" width="7.140625" style="3" customWidth="1"/>
    <col min="19" max="16384" width="9.140625" style="3"/>
  </cols>
  <sheetData>
    <row r="1" spans="2:18" ht="7.5" customHeight="1" x14ac:dyDescent="0.2">
      <c r="G1" s="16">
        <v>7</v>
      </c>
      <c r="H1" s="16">
        <v>8</v>
      </c>
      <c r="I1" s="16">
        <v>9</v>
      </c>
      <c r="J1" s="16">
        <v>10</v>
      </c>
      <c r="K1" s="16">
        <v>11</v>
      </c>
      <c r="L1" s="16">
        <v>12</v>
      </c>
      <c r="M1" s="16">
        <v>1</v>
      </c>
      <c r="N1" s="16">
        <v>2</v>
      </c>
      <c r="O1" s="16">
        <v>3</v>
      </c>
      <c r="P1" s="16">
        <v>4</v>
      </c>
      <c r="Q1" s="16">
        <v>5</v>
      </c>
      <c r="R1" s="16">
        <v>6</v>
      </c>
    </row>
    <row r="2" spans="2:18" ht="13.5" thickBot="1" x14ac:dyDescent="0.25">
      <c r="B2" s="11" t="s">
        <v>1</v>
      </c>
      <c r="C2" s="12" t="s">
        <v>2</v>
      </c>
      <c r="D2" s="12" t="s">
        <v>3</v>
      </c>
      <c r="E2" s="12" t="s">
        <v>0</v>
      </c>
      <c r="F2" s="5"/>
      <c r="G2" s="27">
        <v>2010</v>
      </c>
      <c r="H2" s="28"/>
      <c r="I2" s="28"/>
      <c r="J2" s="28"/>
      <c r="K2" s="28"/>
      <c r="L2" s="29"/>
      <c r="M2" s="28">
        <f>G2+1</f>
        <v>2011</v>
      </c>
      <c r="N2" s="28"/>
      <c r="O2" s="28"/>
      <c r="P2" s="28"/>
      <c r="Q2" s="28"/>
      <c r="R2" s="29"/>
    </row>
    <row r="3" spans="2:18" x14ac:dyDescent="0.2">
      <c r="B3" s="7">
        <v>39630</v>
      </c>
      <c r="C3" s="4">
        <v>29854</v>
      </c>
      <c r="D3" s="9">
        <v>34576</v>
      </c>
      <c r="E3" s="4">
        <f>SUM(C3:D3)</f>
        <v>64430</v>
      </c>
      <c r="F3" s="5"/>
      <c r="G3" s="15">
        <f>DATE($G$2,G1,1)</f>
        <v>40360</v>
      </c>
      <c r="H3" s="15">
        <f t="shared" ref="H3:L3" si="0">DATE($G$2,H1,1)</f>
        <v>40391</v>
      </c>
      <c r="I3" s="15">
        <f t="shared" si="0"/>
        <v>40422</v>
      </c>
      <c r="J3" s="15">
        <f t="shared" si="0"/>
        <v>40452</v>
      </c>
      <c r="K3" s="15">
        <f t="shared" si="0"/>
        <v>40483</v>
      </c>
      <c r="L3" s="17">
        <f t="shared" si="0"/>
        <v>40513</v>
      </c>
      <c r="M3" s="15">
        <f>DATE($M$2,M1,1)</f>
        <v>40544</v>
      </c>
      <c r="N3" s="15">
        <f t="shared" ref="N3:R3" si="1">DATE($M$2,N1,1)</f>
        <v>40575</v>
      </c>
      <c r="O3" s="15">
        <f t="shared" si="1"/>
        <v>40603</v>
      </c>
      <c r="P3" s="15">
        <f t="shared" si="1"/>
        <v>40634</v>
      </c>
      <c r="Q3" s="15">
        <f t="shared" si="1"/>
        <v>40664</v>
      </c>
      <c r="R3" s="15">
        <f t="shared" si="1"/>
        <v>40695</v>
      </c>
    </row>
    <row r="4" spans="2:18" x14ac:dyDescent="0.2">
      <c r="B4" s="8">
        <v>39661</v>
      </c>
      <c r="C4" s="4">
        <v>25756</v>
      </c>
      <c r="D4" s="10">
        <v>38547</v>
      </c>
      <c r="E4" s="4">
        <f t="shared" ref="E4:E38" si="2">SUM(C4:D4)</f>
        <v>64303</v>
      </c>
      <c r="F4" s="20" t="s">
        <v>2</v>
      </c>
      <c r="G4" s="18">
        <f>VLOOKUP(G3,$B$3:$E$38,2,FALSE)</f>
        <v>72502</v>
      </c>
      <c r="H4" s="18">
        <f t="shared" ref="H4:R4" si="3">VLOOKUP(H3,$B$3:$E$38,2,FALSE)</f>
        <v>72502</v>
      </c>
      <c r="I4" s="18">
        <f t="shared" si="3"/>
        <v>55687</v>
      </c>
      <c r="J4" s="18">
        <f t="shared" si="3"/>
        <v>55479</v>
      </c>
      <c r="K4" s="18">
        <f t="shared" si="3"/>
        <v>54236</v>
      </c>
      <c r="L4" s="19">
        <f t="shared" si="3"/>
        <v>52345</v>
      </c>
      <c r="M4" s="13">
        <f t="shared" si="3"/>
        <v>49856</v>
      </c>
      <c r="N4" s="13">
        <f t="shared" si="3"/>
        <v>86523</v>
      </c>
      <c r="O4" s="13">
        <f t="shared" si="3"/>
        <v>76584</v>
      </c>
      <c r="P4" s="13">
        <f t="shared" si="3"/>
        <v>68452</v>
      </c>
      <c r="Q4" s="13">
        <f t="shared" si="3"/>
        <v>56984</v>
      </c>
      <c r="R4" s="13">
        <f t="shared" si="3"/>
        <v>65423</v>
      </c>
    </row>
    <row r="5" spans="2:18" x14ac:dyDescent="0.2">
      <c r="B5" s="8">
        <v>39692</v>
      </c>
      <c r="C5" s="4">
        <v>28756</v>
      </c>
      <c r="D5" s="10">
        <v>42156</v>
      </c>
      <c r="E5" s="4">
        <f t="shared" si="2"/>
        <v>70912</v>
      </c>
      <c r="F5" s="20" t="s">
        <v>3</v>
      </c>
      <c r="G5" s="18">
        <f>VLOOKUP(G3,$B$3:$E$38,3,FALSE)</f>
        <v>65874</v>
      </c>
      <c r="H5" s="18">
        <f t="shared" ref="H5:R5" si="4">VLOOKUP(H3,$B$3:$E$38,3,FALSE)</f>
        <v>74526</v>
      </c>
      <c r="I5" s="18">
        <f t="shared" si="4"/>
        <v>35426</v>
      </c>
      <c r="J5" s="18">
        <f t="shared" si="4"/>
        <v>47582</v>
      </c>
      <c r="K5" s="18">
        <f t="shared" si="4"/>
        <v>75421</v>
      </c>
      <c r="L5" s="19">
        <f t="shared" si="4"/>
        <v>85426</v>
      </c>
      <c r="M5" s="13">
        <f t="shared" si="4"/>
        <v>32567</v>
      </c>
      <c r="N5" s="13">
        <f t="shared" si="4"/>
        <v>85421</v>
      </c>
      <c r="O5" s="13">
        <f t="shared" si="4"/>
        <v>75648</v>
      </c>
      <c r="P5" s="13">
        <f t="shared" si="4"/>
        <v>65478</v>
      </c>
      <c r="Q5" s="13">
        <f t="shared" si="4"/>
        <v>74258</v>
      </c>
      <c r="R5" s="13">
        <f t="shared" si="4"/>
        <v>69847</v>
      </c>
    </row>
    <row r="6" spans="2:18" x14ac:dyDescent="0.2">
      <c r="B6" s="8">
        <v>39722</v>
      </c>
      <c r="C6" s="4">
        <v>28756</v>
      </c>
      <c r="D6" s="10">
        <v>40157</v>
      </c>
      <c r="E6" s="4">
        <f t="shared" si="2"/>
        <v>68913</v>
      </c>
      <c r="G6" s="13"/>
      <c r="H6" s="13"/>
      <c r="I6" s="14"/>
      <c r="J6" s="13"/>
      <c r="K6" s="13"/>
      <c r="L6" s="13"/>
      <c r="M6" s="13"/>
      <c r="N6" s="13"/>
      <c r="O6" s="13"/>
      <c r="P6" s="13"/>
      <c r="Q6" s="13"/>
      <c r="R6" s="13"/>
    </row>
    <row r="7" spans="2:18" ht="30" x14ac:dyDescent="0.4">
      <c r="B7" s="8">
        <v>39753</v>
      </c>
      <c r="C7" s="4">
        <v>27568</v>
      </c>
      <c r="D7" s="10">
        <v>56875</v>
      </c>
      <c r="E7" s="4">
        <f t="shared" si="2"/>
        <v>84443</v>
      </c>
      <c r="G7" s="30" t="str">
        <f>"JUL "&amp;G2&amp;"  to  "&amp;"JUN "&amp;M2</f>
        <v>JUL 2010  to  JUN 2011</v>
      </c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</row>
    <row r="8" spans="2:18" x14ac:dyDescent="0.2">
      <c r="B8" s="8">
        <v>39783</v>
      </c>
      <c r="C8" s="4">
        <v>26589</v>
      </c>
      <c r="D8" s="10">
        <v>25413</v>
      </c>
      <c r="E8" s="4">
        <f t="shared" si="2"/>
        <v>52002</v>
      </c>
      <c r="I8" s="1"/>
    </row>
    <row r="9" spans="2:18" x14ac:dyDescent="0.2">
      <c r="B9" s="8">
        <v>39814</v>
      </c>
      <c r="C9" s="4">
        <v>29137</v>
      </c>
      <c r="D9" s="10">
        <v>41791</v>
      </c>
      <c r="E9" s="4">
        <f t="shared" si="2"/>
        <v>70928</v>
      </c>
      <c r="I9" s="1"/>
    </row>
    <row r="10" spans="2:18" x14ac:dyDescent="0.2">
      <c r="B10" s="8">
        <v>39845</v>
      </c>
      <c r="C10" s="4">
        <v>29958</v>
      </c>
      <c r="D10" s="10">
        <v>41642</v>
      </c>
      <c r="E10" s="4">
        <f t="shared" si="2"/>
        <v>71600</v>
      </c>
      <c r="I10" s="1"/>
    </row>
    <row r="11" spans="2:18" x14ac:dyDescent="0.2">
      <c r="B11" s="8">
        <v>39873</v>
      </c>
      <c r="C11" s="4">
        <v>25416</v>
      </c>
      <c r="D11" s="10">
        <v>44435</v>
      </c>
      <c r="E11" s="4">
        <f t="shared" si="2"/>
        <v>69851</v>
      </c>
      <c r="I11" s="1"/>
    </row>
    <row r="12" spans="2:18" x14ac:dyDescent="0.2">
      <c r="B12" s="8">
        <v>39904</v>
      </c>
      <c r="C12" s="4">
        <v>41844</v>
      </c>
      <c r="D12" s="10">
        <v>56958</v>
      </c>
      <c r="E12" s="4">
        <f t="shared" si="2"/>
        <v>98802</v>
      </c>
      <c r="I12" s="1"/>
    </row>
    <row r="13" spans="2:18" x14ac:dyDescent="0.2">
      <c r="B13" s="8">
        <v>39934</v>
      </c>
      <c r="C13" s="4">
        <v>20393</v>
      </c>
      <c r="D13" s="10">
        <v>20393</v>
      </c>
      <c r="E13" s="4">
        <f t="shared" si="2"/>
        <v>40786</v>
      </c>
      <c r="I13" s="1"/>
    </row>
    <row r="14" spans="2:18" x14ac:dyDescent="0.2">
      <c r="B14" s="8">
        <v>39965</v>
      </c>
      <c r="C14" s="4">
        <v>26547</v>
      </c>
      <c r="D14" s="10">
        <v>40125</v>
      </c>
      <c r="E14" s="4">
        <f t="shared" si="2"/>
        <v>66672</v>
      </c>
      <c r="I14" s="1"/>
    </row>
    <row r="15" spans="2:18" x14ac:dyDescent="0.2">
      <c r="B15" s="8">
        <v>39995</v>
      </c>
      <c r="C15" s="4">
        <v>53798</v>
      </c>
      <c r="D15" s="10">
        <v>40490</v>
      </c>
      <c r="E15" s="4">
        <f t="shared" si="2"/>
        <v>94288</v>
      </c>
      <c r="I15" s="1"/>
    </row>
    <row r="16" spans="2:18" x14ac:dyDescent="0.2">
      <c r="B16" s="8">
        <v>40026</v>
      </c>
      <c r="C16" s="4">
        <v>67611</v>
      </c>
      <c r="D16" s="10">
        <v>23532</v>
      </c>
      <c r="E16" s="4">
        <f t="shared" si="2"/>
        <v>91143</v>
      </c>
      <c r="I16" s="2"/>
    </row>
    <row r="17" spans="2:5" x14ac:dyDescent="0.2">
      <c r="B17" s="8">
        <v>40057</v>
      </c>
      <c r="C17" s="4">
        <v>43412</v>
      </c>
      <c r="D17" s="10">
        <v>49628</v>
      </c>
      <c r="E17" s="4">
        <f t="shared" si="2"/>
        <v>93040</v>
      </c>
    </row>
    <row r="18" spans="2:5" x14ac:dyDescent="0.2">
      <c r="B18" s="8">
        <v>40087</v>
      </c>
      <c r="C18" s="4">
        <v>46932</v>
      </c>
      <c r="D18" s="10">
        <v>57000</v>
      </c>
      <c r="E18" s="4">
        <f t="shared" si="2"/>
        <v>103932</v>
      </c>
    </row>
    <row r="19" spans="2:5" x14ac:dyDescent="0.2">
      <c r="B19" s="8">
        <v>40118</v>
      </c>
      <c r="C19" s="4">
        <v>61326</v>
      </c>
      <c r="D19" s="10">
        <v>44977</v>
      </c>
      <c r="E19" s="4">
        <f t="shared" si="2"/>
        <v>106303</v>
      </c>
    </row>
    <row r="20" spans="2:5" x14ac:dyDescent="0.2">
      <c r="B20" s="8">
        <v>40148</v>
      </c>
      <c r="C20" s="4">
        <v>65578</v>
      </c>
      <c r="D20" s="10">
        <v>43075</v>
      </c>
      <c r="E20" s="4">
        <f t="shared" si="2"/>
        <v>108653</v>
      </c>
    </row>
    <row r="21" spans="2:5" x14ac:dyDescent="0.2">
      <c r="B21" s="8">
        <v>40179</v>
      </c>
      <c r="C21" s="4">
        <v>55683</v>
      </c>
      <c r="D21" s="10">
        <v>25523</v>
      </c>
      <c r="E21" s="4">
        <f t="shared" si="2"/>
        <v>81206</v>
      </c>
    </row>
    <row r="22" spans="2:5" x14ac:dyDescent="0.2">
      <c r="B22" s="8">
        <v>40210</v>
      </c>
      <c r="C22" s="4">
        <v>49665</v>
      </c>
      <c r="D22" s="10">
        <v>61015</v>
      </c>
      <c r="E22" s="4">
        <f t="shared" si="2"/>
        <v>110680</v>
      </c>
    </row>
    <row r="23" spans="2:5" x14ac:dyDescent="0.2">
      <c r="B23" s="8">
        <v>40238</v>
      </c>
      <c r="C23" s="4">
        <v>42603</v>
      </c>
      <c r="D23" s="10">
        <v>57594</v>
      </c>
      <c r="E23" s="4">
        <f t="shared" si="2"/>
        <v>100197</v>
      </c>
    </row>
    <row r="24" spans="2:5" x14ac:dyDescent="0.2">
      <c r="B24" s="8">
        <v>40269</v>
      </c>
      <c r="C24" s="4">
        <v>57873</v>
      </c>
      <c r="D24" s="10">
        <v>46523</v>
      </c>
      <c r="E24" s="4">
        <f t="shared" si="2"/>
        <v>104396</v>
      </c>
    </row>
    <row r="25" spans="2:5" x14ac:dyDescent="0.2">
      <c r="B25" s="8">
        <v>40299</v>
      </c>
      <c r="C25" s="4">
        <v>30305</v>
      </c>
      <c r="D25" s="10">
        <v>45048</v>
      </c>
      <c r="E25" s="4">
        <f t="shared" si="2"/>
        <v>75353</v>
      </c>
    </row>
    <row r="26" spans="2:5" x14ac:dyDescent="0.2">
      <c r="B26" s="8">
        <v>40330</v>
      </c>
      <c r="C26" s="4">
        <v>14809</v>
      </c>
      <c r="D26" s="10">
        <v>60251</v>
      </c>
      <c r="E26" s="4">
        <f t="shared" si="2"/>
        <v>75060</v>
      </c>
    </row>
    <row r="27" spans="2:5" x14ac:dyDescent="0.2">
      <c r="B27" s="8">
        <v>40360</v>
      </c>
      <c r="C27" s="4">
        <v>72502</v>
      </c>
      <c r="D27" s="10">
        <v>65874</v>
      </c>
      <c r="E27" s="4">
        <f t="shared" si="2"/>
        <v>138376</v>
      </c>
    </row>
    <row r="28" spans="2:5" x14ac:dyDescent="0.2">
      <c r="B28" s="8">
        <v>40391</v>
      </c>
      <c r="C28" s="4">
        <v>72502</v>
      </c>
      <c r="D28" s="10">
        <v>74526</v>
      </c>
      <c r="E28" s="4">
        <f t="shared" si="2"/>
        <v>147028</v>
      </c>
    </row>
    <row r="29" spans="2:5" x14ac:dyDescent="0.2">
      <c r="B29" s="8">
        <v>40422</v>
      </c>
      <c r="C29" s="4">
        <v>55687</v>
      </c>
      <c r="D29" s="10">
        <v>35426</v>
      </c>
      <c r="E29" s="4">
        <f t="shared" si="2"/>
        <v>91113</v>
      </c>
    </row>
    <row r="30" spans="2:5" x14ac:dyDescent="0.2">
      <c r="B30" s="8">
        <v>40452</v>
      </c>
      <c r="C30" s="4">
        <v>55479</v>
      </c>
      <c r="D30" s="10">
        <v>47582</v>
      </c>
      <c r="E30" s="4">
        <f t="shared" si="2"/>
        <v>103061</v>
      </c>
    </row>
    <row r="31" spans="2:5" x14ac:dyDescent="0.2">
      <c r="B31" s="8">
        <v>40483</v>
      </c>
      <c r="C31" s="4">
        <v>54236</v>
      </c>
      <c r="D31" s="10">
        <v>75421</v>
      </c>
      <c r="E31" s="4">
        <f t="shared" si="2"/>
        <v>129657</v>
      </c>
    </row>
    <row r="32" spans="2:5" x14ac:dyDescent="0.2">
      <c r="B32" s="8">
        <v>40513</v>
      </c>
      <c r="C32" s="4">
        <v>52345</v>
      </c>
      <c r="D32" s="10">
        <v>85426</v>
      </c>
      <c r="E32" s="4">
        <f t="shared" si="2"/>
        <v>137771</v>
      </c>
    </row>
    <row r="33" spans="2:5" x14ac:dyDescent="0.2">
      <c r="B33" s="8">
        <v>40544</v>
      </c>
      <c r="C33" s="4">
        <v>49856</v>
      </c>
      <c r="D33" s="10">
        <v>32567</v>
      </c>
      <c r="E33" s="4">
        <f t="shared" si="2"/>
        <v>82423</v>
      </c>
    </row>
    <row r="34" spans="2:5" x14ac:dyDescent="0.2">
      <c r="B34" s="8">
        <v>40575</v>
      </c>
      <c r="C34" s="4">
        <v>86523</v>
      </c>
      <c r="D34" s="10">
        <v>85421</v>
      </c>
      <c r="E34" s="4">
        <f t="shared" si="2"/>
        <v>171944</v>
      </c>
    </row>
    <row r="35" spans="2:5" x14ac:dyDescent="0.2">
      <c r="B35" s="8">
        <v>40603</v>
      </c>
      <c r="C35" s="4">
        <v>76584</v>
      </c>
      <c r="D35" s="10">
        <v>75648</v>
      </c>
      <c r="E35" s="4">
        <f t="shared" si="2"/>
        <v>152232</v>
      </c>
    </row>
    <row r="36" spans="2:5" x14ac:dyDescent="0.2">
      <c r="B36" s="8">
        <v>40634</v>
      </c>
      <c r="C36" s="4">
        <v>68452</v>
      </c>
      <c r="D36" s="10">
        <v>65478</v>
      </c>
      <c r="E36" s="4">
        <f t="shared" si="2"/>
        <v>133930</v>
      </c>
    </row>
    <row r="37" spans="2:5" x14ac:dyDescent="0.2">
      <c r="B37" s="8">
        <v>40664</v>
      </c>
      <c r="C37" s="4">
        <v>56984</v>
      </c>
      <c r="D37" s="10">
        <v>74258</v>
      </c>
      <c r="E37" s="4">
        <f t="shared" si="2"/>
        <v>131242</v>
      </c>
    </row>
    <row r="38" spans="2:5" x14ac:dyDescent="0.2">
      <c r="B38" s="8">
        <v>40695</v>
      </c>
      <c r="C38" s="4">
        <v>65423</v>
      </c>
      <c r="D38" s="10">
        <v>69847</v>
      </c>
      <c r="E38" s="4">
        <f t="shared" si="2"/>
        <v>135270</v>
      </c>
    </row>
  </sheetData>
  <mergeCells count="3">
    <mergeCell ref="G2:L2"/>
    <mergeCell ref="M2:R2"/>
    <mergeCell ref="G7:R7"/>
  </mergeCells>
  <pageMargins left="0.7" right="0.7" top="0.75" bottom="0.75" header="0.3" footer="0.3"/>
  <pageSetup orientation="portrait" r:id="rId1"/>
  <ignoredErrors>
    <ignoredError sqref="E3:E3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6</xdr:col>
                    <xdr:colOff>0</xdr:colOff>
                    <xdr:row>23</xdr:row>
                    <xdr:rowOff>19050</xdr:rowOff>
                  </from>
                  <to>
                    <xdr:col>17</xdr:col>
                    <xdr:colOff>466725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R40"/>
  <sheetViews>
    <sheetView tabSelected="1" topLeftCell="F1" zoomScaleNormal="100" workbookViewId="0">
      <selection activeCell="U8" sqref="U8"/>
    </sheetView>
  </sheetViews>
  <sheetFormatPr defaultRowHeight="12.75" x14ac:dyDescent="0.2"/>
  <cols>
    <col min="1" max="1" width="1.42578125" style="3" customWidth="1"/>
    <col min="2" max="2" width="9.140625" style="6"/>
    <col min="3" max="3" width="10.5703125" style="4" bestFit="1" customWidth="1"/>
    <col min="4" max="5" width="9.140625" style="4"/>
    <col min="6" max="6" width="8" style="3" customWidth="1"/>
    <col min="7" max="18" width="7.140625" style="3" customWidth="1"/>
    <col min="19" max="16384" width="9.140625" style="3"/>
  </cols>
  <sheetData>
    <row r="1" spans="2:18" ht="7.5" customHeight="1" x14ac:dyDescent="0.2">
      <c r="G1" s="16">
        <v>7</v>
      </c>
      <c r="H1" s="16">
        <v>8</v>
      </c>
      <c r="I1" s="16">
        <v>9</v>
      </c>
      <c r="J1" s="16">
        <v>10</v>
      </c>
      <c r="K1" s="16">
        <v>11</v>
      </c>
      <c r="L1" s="16">
        <v>12</v>
      </c>
      <c r="M1" s="16">
        <v>1</v>
      </c>
      <c r="N1" s="16">
        <v>2</v>
      </c>
      <c r="O1" s="16">
        <v>3</v>
      </c>
      <c r="P1" s="16">
        <v>4</v>
      </c>
      <c r="Q1" s="16">
        <v>5</v>
      </c>
      <c r="R1" s="16">
        <v>6</v>
      </c>
    </row>
    <row r="2" spans="2:18" ht="13.5" thickBot="1" x14ac:dyDescent="0.25">
      <c r="B2" s="11" t="s">
        <v>1</v>
      </c>
      <c r="C2" s="12" t="s">
        <v>2</v>
      </c>
      <c r="D2" s="12" t="s">
        <v>3</v>
      </c>
      <c r="E2" s="12" t="s">
        <v>0</v>
      </c>
      <c r="F2" s="5"/>
      <c r="G2" s="27">
        <v>2010</v>
      </c>
      <c r="H2" s="28"/>
      <c r="I2" s="28"/>
      <c r="J2" s="28"/>
      <c r="K2" s="28"/>
      <c r="L2" s="29"/>
      <c r="M2" s="28">
        <f>G2+1</f>
        <v>2011</v>
      </c>
      <c r="N2" s="28"/>
      <c r="O2" s="28"/>
      <c r="P2" s="28"/>
      <c r="Q2" s="28"/>
      <c r="R2" s="29"/>
    </row>
    <row r="3" spans="2:18" x14ac:dyDescent="0.2">
      <c r="B3" s="7">
        <v>39630</v>
      </c>
      <c r="C3" s="4">
        <v>29854</v>
      </c>
      <c r="D3" s="9">
        <v>34576</v>
      </c>
      <c r="E3" s="4">
        <f>SUM(C3:D3)</f>
        <v>64430</v>
      </c>
      <c r="F3" s="5"/>
      <c r="G3" s="15">
        <f>DATE($G$2,G1,1)</f>
        <v>40360</v>
      </c>
      <c r="H3" s="15">
        <f t="shared" ref="H3:L3" si="0">DATE($G$2,H1,1)</f>
        <v>40391</v>
      </c>
      <c r="I3" s="15">
        <f t="shared" si="0"/>
        <v>40422</v>
      </c>
      <c r="J3" s="15">
        <f t="shared" si="0"/>
        <v>40452</v>
      </c>
      <c r="K3" s="15">
        <f t="shared" si="0"/>
        <v>40483</v>
      </c>
      <c r="L3" s="17">
        <f t="shared" si="0"/>
        <v>40513</v>
      </c>
      <c r="M3" s="15">
        <f>DATE($M$2,M1,1)</f>
        <v>40544</v>
      </c>
      <c r="N3" s="15">
        <f t="shared" ref="N3:R3" si="1">DATE($M$2,N1,1)</f>
        <v>40575</v>
      </c>
      <c r="O3" s="15">
        <f t="shared" si="1"/>
        <v>40603</v>
      </c>
      <c r="P3" s="15">
        <f t="shared" si="1"/>
        <v>40634</v>
      </c>
      <c r="Q3" s="15">
        <f t="shared" si="1"/>
        <v>40664</v>
      </c>
      <c r="R3" s="15">
        <f t="shared" si="1"/>
        <v>40695</v>
      </c>
    </row>
    <row r="4" spans="2:18" x14ac:dyDescent="0.2">
      <c r="B4" s="8">
        <v>39661</v>
      </c>
      <c r="C4" s="4">
        <v>25756</v>
      </c>
      <c r="D4" s="10">
        <v>38547</v>
      </c>
      <c r="E4" s="4">
        <f t="shared" ref="E4:E38" si="2">SUM(C4:D4)</f>
        <v>64303</v>
      </c>
      <c r="F4" s="20" t="s">
        <v>2</v>
      </c>
      <c r="G4" s="18">
        <f>VLOOKUP(G3,$B$3:$E$38,2,FALSE)</f>
        <v>72502</v>
      </c>
      <c r="H4" s="18">
        <f t="shared" ref="H4:R4" si="3">VLOOKUP(H3,$B$3:$E$38,2,FALSE)</f>
        <v>72502</v>
      </c>
      <c r="I4" s="18">
        <f t="shared" si="3"/>
        <v>55687</v>
      </c>
      <c r="J4" s="18">
        <f t="shared" si="3"/>
        <v>55479</v>
      </c>
      <c r="K4" s="18">
        <f t="shared" si="3"/>
        <v>54236</v>
      </c>
      <c r="L4" s="19">
        <f t="shared" si="3"/>
        <v>52345</v>
      </c>
      <c r="M4" s="13">
        <f t="shared" si="3"/>
        <v>49856</v>
      </c>
      <c r="N4" s="13">
        <f t="shared" si="3"/>
        <v>86523</v>
      </c>
      <c r="O4" s="13">
        <f t="shared" si="3"/>
        <v>76584</v>
      </c>
      <c r="P4" s="13">
        <f t="shared" si="3"/>
        <v>68452</v>
      </c>
      <c r="Q4" s="13">
        <f t="shared" si="3"/>
        <v>56984</v>
      </c>
      <c r="R4" s="13">
        <f t="shared" si="3"/>
        <v>65423</v>
      </c>
    </row>
    <row r="5" spans="2:18" x14ac:dyDescent="0.2">
      <c r="B5" s="8">
        <v>39692</v>
      </c>
      <c r="C5" s="4">
        <v>28756</v>
      </c>
      <c r="D5" s="10">
        <v>42156</v>
      </c>
      <c r="E5" s="4">
        <f t="shared" si="2"/>
        <v>70912</v>
      </c>
      <c r="F5" s="20" t="s">
        <v>3</v>
      </c>
      <c r="G5" s="21">
        <f>VLOOKUP(G3,$B$3:$E$38,3,FALSE)</f>
        <v>65874</v>
      </c>
      <c r="H5" s="22">
        <f t="shared" ref="H5:R5" si="4">VLOOKUP(H3,$B$3:$E$38,3,FALSE)</f>
        <v>74526</v>
      </c>
      <c r="I5" s="22">
        <f t="shared" si="4"/>
        <v>35426</v>
      </c>
      <c r="J5" s="22">
        <f t="shared" si="4"/>
        <v>47582</v>
      </c>
      <c r="K5" s="22">
        <f t="shared" si="4"/>
        <v>75421</v>
      </c>
      <c r="L5" s="23">
        <f t="shared" si="4"/>
        <v>85426</v>
      </c>
      <c r="M5" s="22">
        <f t="shared" si="4"/>
        <v>32567</v>
      </c>
      <c r="N5" s="22">
        <f t="shared" si="4"/>
        <v>85421</v>
      </c>
      <c r="O5" s="22">
        <f t="shared" si="4"/>
        <v>75648</v>
      </c>
      <c r="P5" s="22">
        <f t="shared" si="4"/>
        <v>65478</v>
      </c>
      <c r="Q5" s="22">
        <f t="shared" si="4"/>
        <v>74258</v>
      </c>
      <c r="R5" s="22">
        <f t="shared" si="4"/>
        <v>69847</v>
      </c>
    </row>
    <row r="6" spans="2:18" ht="13.5" thickBot="1" x14ac:dyDescent="0.25">
      <c r="B6" s="8">
        <v>39722</v>
      </c>
      <c r="C6" s="4">
        <v>28756</v>
      </c>
      <c r="D6" s="10">
        <v>40157</v>
      </c>
      <c r="E6" s="4">
        <f t="shared" si="2"/>
        <v>68913</v>
      </c>
      <c r="G6" s="24">
        <f>SUM(G4:G5)</f>
        <v>138376</v>
      </c>
      <c r="H6" s="24">
        <f t="shared" ref="H6:R6" si="5">SUM(H4:H5)</f>
        <v>147028</v>
      </c>
      <c r="I6" s="25">
        <f t="shared" si="5"/>
        <v>91113</v>
      </c>
      <c r="J6" s="24">
        <f t="shared" si="5"/>
        <v>103061</v>
      </c>
      <c r="K6" s="24">
        <f t="shared" si="5"/>
        <v>129657</v>
      </c>
      <c r="L6" s="24">
        <f t="shared" si="5"/>
        <v>137771</v>
      </c>
      <c r="M6" s="24">
        <f t="shared" si="5"/>
        <v>82423</v>
      </c>
      <c r="N6" s="24">
        <f t="shared" si="5"/>
        <v>171944</v>
      </c>
      <c r="O6" s="24">
        <f t="shared" si="5"/>
        <v>152232</v>
      </c>
      <c r="P6" s="24">
        <f t="shared" si="5"/>
        <v>133930</v>
      </c>
      <c r="Q6" s="24">
        <f t="shared" si="5"/>
        <v>131242</v>
      </c>
      <c r="R6" s="24">
        <f t="shared" si="5"/>
        <v>135270</v>
      </c>
    </row>
    <row r="7" spans="2:18" ht="30.75" thickTop="1" x14ac:dyDescent="0.4">
      <c r="B7" s="8">
        <v>39753</v>
      </c>
      <c r="C7" s="4">
        <v>27568</v>
      </c>
      <c r="D7" s="10">
        <v>56875</v>
      </c>
      <c r="E7" s="4">
        <f t="shared" si="2"/>
        <v>84443</v>
      </c>
      <c r="G7" s="31" t="str">
        <f>"JUL "&amp;G2&amp;"  to  "&amp;"JUN "&amp;M2</f>
        <v>JUL 2010  to  JUN 2011</v>
      </c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2:18" x14ac:dyDescent="0.2">
      <c r="B8" s="8">
        <v>39783</v>
      </c>
      <c r="C8" s="4">
        <v>26589</v>
      </c>
      <c r="D8" s="10">
        <v>25413</v>
      </c>
      <c r="E8" s="4">
        <f t="shared" si="2"/>
        <v>52002</v>
      </c>
      <c r="I8" s="1"/>
    </row>
    <row r="9" spans="2:18" x14ac:dyDescent="0.2">
      <c r="B9" s="8">
        <v>39814</v>
      </c>
      <c r="C9" s="4">
        <v>29137</v>
      </c>
      <c r="D9" s="10">
        <v>41791</v>
      </c>
      <c r="E9" s="4">
        <f t="shared" si="2"/>
        <v>70928</v>
      </c>
      <c r="I9" s="1"/>
    </row>
    <row r="10" spans="2:18" x14ac:dyDescent="0.2">
      <c r="B10" s="8">
        <v>39845</v>
      </c>
      <c r="C10" s="4">
        <v>29958</v>
      </c>
      <c r="D10" s="10">
        <v>41642</v>
      </c>
      <c r="E10" s="4">
        <f t="shared" si="2"/>
        <v>71600</v>
      </c>
      <c r="I10" s="1"/>
    </row>
    <row r="11" spans="2:18" x14ac:dyDescent="0.2">
      <c r="B11" s="8">
        <v>39873</v>
      </c>
      <c r="C11" s="4">
        <v>25416</v>
      </c>
      <c r="D11" s="10">
        <v>44435</v>
      </c>
      <c r="E11" s="4">
        <f t="shared" si="2"/>
        <v>69851</v>
      </c>
      <c r="I11" s="1"/>
    </row>
    <row r="12" spans="2:18" x14ac:dyDescent="0.2">
      <c r="B12" s="8">
        <v>39904</v>
      </c>
      <c r="C12" s="4">
        <v>41844</v>
      </c>
      <c r="D12" s="10">
        <v>56958</v>
      </c>
      <c r="E12" s="4">
        <f t="shared" si="2"/>
        <v>98802</v>
      </c>
      <c r="I12" s="1"/>
    </row>
    <row r="13" spans="2:18" x14ac:dyDescent="0.2">
      <c r="B13" s="8">
        <v>39934</v>
      </c>
      <c r="C13" s="4">
        <v>20393</v>
      </c>
      <c r="D13" s="10">
        <v>20393</v>
      </c>
      <c r="E13" s="4">
        <f t="shared" si="2"/>
        <v>40786</v>
      </c>
      <c r="I13" s="1"/>
    </row>
    <row r="14" spans="2:18" x14ac:dyDescent="0.2">
      <c r="B14" s="8">
        <v>39965</v>
      </c>
      <c r="C14" s="4">
        <v>26547</v>
      </c>
      <c r="D14" s="10">
        <v>40125</v>
      </c>
      <c r="E14" s="4">
        <f t="shared" si="2"/>
        <v>66672</v>
      </c>
      <c r="I14" s="1"/>
    </row>
    <row r="15" spans="2:18" x14ac:dyDescent="0.2">
      <c r="B15" s="8">
        <v>39995</v>
      </c>
      <c r="C15" s="4">
        <v>53798</v>
      </c>
      <c r="D15" s="10">
        <v>40490</v>
      </c>
      <c r="E15" s="4">
        <f t="shared" si="2"/>
        <v>94288</v>
      </c>
      <c r="I15" s="1"/>
    </row>
    <row r="16" spans="2:18" x14ac:dyDescent="0.2">
      <c r="B16" s="8">
        <v>40026</v>
      </c>
      <c r="C16" s="4">
        <v>67611</v>
      </c>
      <c r="D16" s="10">
        <v>23532</v>
      </c>
      <c r="E16" s="4">
        <f t="shared" si="2"/>
        <v>91143</v>
      </c>
      <c r="I16" s="2"/>
    </row>
    <row r="17" spans="2:5" x14ac:dyDescent="0.2">
      <c r="B17" s="8">
        <v>40057</v>
      </c>
      <c r="C17" s="4">
        <v>43412</v>
      </c>
      <c r="D17" s="10">
        <v>49628</v>
      </c>
      <c r="E17" s="4">
        <f t="shared" si="2"/>
        <v>93040</v>
      </c>
    </row>
    <row r="18" spans="2:5" x14ac:dyDescent="0.2">
      <c r="B18" s="8">
        <v>40087</v>
      </c>
      <c r="C18" s="4">
        <v>46932</v>
      </c>
      <c r="D18" s="10">
        <v>57000</v>
      </c>
      <c r="E18" s="4">
        <f t="shared" si="2"/>
        <v>103932</v>
      </c>
    </row>
    <row r="19" spans="2:5" x14ac:dyDescent="0.2">
      <c r="B19" s="8">
        <v>40118</v>
      </c>
      <c r="C19" s="4">
        <v>61326</v>
      </c>
      <c r="D19" s="10">
        <v>44977</v>
      </c>
      <c r="E19" s="4">
        <f t="shared" si="2"/>
        <v>106303</v>
      </c>
    </row>
    <row r="20" spans="2:5" x14ac:dyDescent="0.2">
      <c r="B20" s="8">
        <v>40148</v>
      </c>
      <c r="C20" s="4">
        <v>65578</v>
      </c>
      <c r="D20" s="10">
        <v>43075</v>
      </c>
      <c r="E20" s="4">
        <f t="shared" si="2"/>
        <v>108653</v>
      </c>
    </row>
    <row r="21" spans="2:5" x14ac:dyDescent="0.2">
      <c r="B21" s="8">
        <v>40179</v>
      </c>
      <c r="C21" s="4">
        <v>55683</v>
      </c>
      <c r="D21" s="10">
        <v>25523</v>
      </c>
      <c r="E21" s="4">
        <f t="shared" si="2"/>
        <v>81206</v>
      </c>
    </row>
    <row r="22" spans="2:5" x14ac:dyDescent="0.2">
      <c r="B22" s="8">
        <v>40210</v>
      </c>
      <c r="C22" s="4">
        <v>49665</v>
      </c>
      <c r="D22" s="10">
        <v>61015</v>
      </c>
      <c r="E22" s="4">
        <f t="shared" si="2"/>
        <v>110680</v>
      </c>
    </row>
    <row r="23" spans="2:5" x14ac:dyDescent="0.2">
      <c r="B23" s="8">
        <v>40238</v>
      </c>
      <c r="C23" s="4">
        <v>42603</v>
      </c>
      <c r="D23" s="10">
        <v>57594</v>
      </c>
      <c r="E23" s="4">
        <f t="shared" si="2"/>
        <v>100197</v>
      </c>
    </row>
    <row r="24" spans="2:5" x14ac:dyDescent="0.2">
      <c r="B24" s="8">
        <v>40269</v>
      </c>
      <c r="C24" s="4">
        <v>57873</v>
      </c>
      <c r="D24" s="10">
        <v>46523</v>
      </c>
      <c r="E24" s="4">
        <f t="shared" si="2"/>
        <v>104396</v>
      </c>
    </row>
    <row r="25" spans="2:5" x14ac:dyDescent="0.2">
      <c r="B25" s="8">
        <v>40299</v>
      </c>
      <c r="C25" s="4">
        <v>30305</v>
      </c>
      <c r="D25" s="10">
        <v>45048</v>
      </c>
      <c r="E25" s="4">
        <f t="shared" si="2"/>
        <v>75353</v>
      </c>
    </row>
    <row r="26" spans="2:5" x14ac:dyDescent="0.2">
      <c r="B26" s="8">
        <v>40330</v>
      </c>
      <c r="C26" s="4">
        <v>14809</v>
      </c>
      <c r="D26" s="10">
        <v>60251</v>
      </c>
      <c r="E26" s="4">
        <f t="shared" si="2"/>
        <v>75060</v>
      </c>
    </row>
    <row r="27" spans="2:5" x14ac:dyDescent="0.2">
      <c r="B27" s="8">
        <v>40360</v>
      </c>
      <c r="C27" s="4">
        <v>72502</v>
      </c>
      <c r="D27" s="10">
        <v>65874</v>
      </c>
      <c r="E27" s="4">
        <f t="shared" si="2"/>
        <v>138376</v>
      </c>
    </row>
    <row r="28" spans="2:5" x14ac:dyDescent="0.2">
      <c r="B28" s="8">
        <v>40391</v>
      </c>
      <c r="C28" s="4">
        <v>72502</v>
      </c>
      <c r="D28" s="10">
        <v>74526</v>
      </c>
      <c r="E28" s="4">
        <f t="shared" si="2"/>
        <v>147028</v>
      </c>
    </row>
    <row r="29" spans="2:5" x14ac:dyDescent="0.2">
      <c r="B29" s="8">
        <v>40422</v>
      </c>
      <c r="C29" s="4">
        <v>55687</v>
      </c>
      <c r="D29" s="10">
        <v>35426</v>
      </c>
      <c r="E29" s="4">
        <f t="shared" si="2"/>
        <v>91113</v>
      </c>
    </row>
    <row r="30" spans="2:5" x14ac:dyDescent="0.2">
      <c r="B30" s="8">
        <v>40452</v>
      </c>
      <c r="C30" s="4">
        <v>55479</v>
      </c>
      <c r="D30" s="10">
        <v>47582</v>
      </c>
      <c r="E30" s="4">
        <f t="shared" si="2"/>
        <v>103061</v>
      </c>
    </row>
    <row r="31" spans="2:5" x14ac:dyDescent="0.2">
      <c r="B31" s="8">
        <v>40483</v>
      </c>
      <c r="C31" s="4">
        <v>54236</v>
      </c>
      <c r="D31" s="10">
        <v>75421</v>
      </c>
      <c r="E31" s="4">
        <f t="shared" si="2"/>
        <v>129657</v>
      </c>
    </row>
    <row r="32" spans="2:5" x14ac:dyDescent="0.2">
      <c r="B32" s="8">
        <v>40513</v>
      </c>
      <c r="C32" s="4">
        <v>52345</v>
      </c>
      <c r="D32" s="10">
        <v>85426</v>
      </c>
      <c r="E32" s="4">
        <f t="shared" si="2"/>
        <v>137771</v>
      </c>
    </row>
    <row r="33" spans="2:18" x14ac:dyDescent="0.2">
      <c r="B33" s="8">
        <v>40544</v>
      </c>
      <c r="C33" s="4">
        <v>49856</v>
      </c>
      <c r="D33" s="10">
        <v>32567</v>
      </c>
      <c r="E33" s="4">
        <f t="shared" si="2"/>
        <v>82423</v>
      </c>
      <c r="G33" s="3">
        <v>7</v>
      </c>
      <c r="H33" s="3">
        <v>8</v>
      </c>
      <c r="I33" s="3">
        <v>9</v>
      </c>
      <c r="J33" s="3">
        <v>10</v>
      </c>
      <c r="K33" s="3">
        <v>11</v>
      </c>
      <c r="L33" s="3">
        <v>12</v>
      </c>
      <c r="M33" s="3">
        <v>13</v>
      </c>
      <c r="N33" s="3">
        <v>14</v>
      </c>
      <c r="O33" s="3">
        <v>15</v>
      </c>
      <c r="P33" s="3">
        <v>16</v>
      </c>
      <c r="Q33" s="3">
        <v>17</v>
      </c>
      <c r="R33" s="3">
        <v>18</v>
      </c>
    </row>
    <row r="34" spans="2:18" x14ac:dyDescent="0.2">
      <c r="B34" s="8">
        <v>40575</v>
      </c>
      <c r="C34" s="4">
        <v>86523</v>
      </c>
      <c r="D34" s="10">
        <v>85421</v>
      </c>
      <c r="E34" s="4">
        <f t="shared" si="2"/>
        <v>171944</v>
      </c>
      <c r="G34" s="3" t="s">
        <v>4</v>
      </c>
      <c r="H34" s="3">
        <v>8</v>
      </c>
    </row>
    <row r="35" spans="2:18" x14ac:dyDescent="0.2">
      <c r="B35" s="8">
        <v>40603</v>
      </c>
      <c r="C35" s="4">
        <v>76584</v>
      </c>
      <c r="D35" s="10">
        <v>75648</v>
      </c>
      <c r="E35" s="4">
        <f t="shared" si="2"/>
        <v>152232</v>
      </c>
      <c r="G35" s="3" t="s">
        <v>5</v>
      </c>
      <c r="H35" s="3">
        <v>21</v>
      </c>
    </row>
    <row r="36" spans="2:18" x14ac:dyDescent="0.2">
      <c r="B36" s="8">
        <v>40634</v>
      </c>
      <c r="C36" s="4">
        <v>68452</v>
      </c>
      <c r="D36" s="10">
        <v>65478</v>
      </c>
      <c r="E36" s="4">
        <f t="shared" si="2"/>
        <v>133930</v>
      </c>
      <c r="G36" s="15">
        <v>39630</v>
      </c>
      <c r="H36" s="15">
        <v>39661</v>
      </c>
      <c r="I36" s="15">
        <v>39692</v>
      </c>
      <c r="J36" s="15">
        <v>39722</v>
      </c>
      <c r="K36" s="15">
        <v>39753</v>
      </c>
      <c r="L36" s="17">
        <v>39783</v>
      </c>
      <c r="M36" s="15">
        <v>39814</v>
      </c>
      <c r="N36" s="15">
        <v>39845</v>
      </c>
      <c r="O36" s="15">
        <v>39873</v>
      </c>
      <c r="P36" s="15">
        <v>39904</v>
      </c>
      <c r="Q36" s="15">
        <v>39934</v>
      </c>
      <c r="R36" s="15">
        <v>39965</v>
      </c>
    </row>
    <row r="37" spans="2:18" x14ac:dyDescent="0.2">
      <c r="B37" s="8">
        <v>40664</v>
      </c>
      <c r="C37" s="4">
        <v>56984</v>
      </c>
      <c r="D37" s="10">
        <v>74258</v>
      </c>
      <c r="E37" s="4">
        <f t="shared" si="2"/>
        <v>131242</v>
      </c>
      <c r="G37" s="13">
        <f t="shared" ref="G37:R37" si="6">IF(AND(OR(RowNum&gt;=3,RowNum&lt;=5),ColNum=G33),G4,0)</f>
        <v>0</v>
      </c>
      <c r="H37" s="13">
        <f t="shared" si="6"/>
        <v>0</v>
      </c>
      <c r="I37" s="13">
        <f t="shared" si="6"/>
        <v>0</v>
      </c>
      <c r="J37" s="13">
        <f t="shared" si="6"/>
        <v>0</v>
      </c>
      <c r="K37" s="13">
        <f t="shared" si="6"/>
        <v>0</v>
      </c>
      <c r="L37" s="13">
        <f t="shared" si="6"/>
        <v>0</v>
      </c>
      <c r="M37" s="13">
        <f t="shared" si="6"/>
        <v>0</v>
      </c>
      <c r="N37" s="13">
        <f t="shared" si="6"/>
        <v>0</v>
      </c>
      <c r="O37" s="13">
        <f t="shared" si="6"/>
        <v>0</v>
      </c>
      <c r="P37" s="13">
        <f t="shared" si="6"/>
        <v>0</v>
      </c>
      <c r="Q37" s="13">
        <f t="shared" si="6"/>
        <v>0</v>
      </c>
      <c r="R37" s="13">
        <f t="shared" si="6"/>
        <v>0</v>
      </c>
    </row>
    <row r="38" spans="2:18" x14ac:dyDescent="0.2">
      <c r="B38" s="8">
        <v>40695</v>
      </c>
      <c r="C38" s="4">
        <v>65423</v>
      </c>
      <c r="D38" s="10">
        <v>69847</v>
      </c>
      <c r="E38" s="4">
        <f t="shared" si="2"/>
        <v>135270</v>
      </c>
      <c r="G38" s="13">
        <f t="shared" ref="G38:R38" si="7">IF(AND(OR(RowNum&gt;=3,RowNum&lt;=5),ColNum=G33),G5,0)</f>
        <v>0</v>
      </c>
      <c r="H38" s="13">
        <f t="shared" si="7"/>
        <v>0</v>
      </c>
      <c r="I38" s="13">
        <f t="shared" si="7"/>
        <v>0</v>
      </c>
      <c r="J38" s="13">
        <f t="shared" si="7"/>
        <v>0</v>
      </c>
      <c r="K38" s="13">
        <f t="shared" si="7"/>
        <v>0</v>
      </c>
      <c r="L38" s="13">
        <f t="shared" si="7"/>
        <v>0</v>
      </c>
      <c r="M38" s="13">
        <f t="shared" si="7"/>
        <v>0</v>
      </c>
      <c r="N38" s="13">
        <f t="shared" si="7"/>
        <v>0</v>
      </c>
      <c r="O38" s="13">
        <f t="shared" si="7"/>
        <v>0</v>
      </c>
      <c r="P38" s="13">
        <f t="shared" si="7"/>
        <v>0</v>
      </c>
      <c r="Q38" s="13">
        <f t="shared" si="7"/>
        <v>0</v>
      </c>
      <c r="R38" s="13">
        <f t="shared" si="7"/>
        <v>0</v>
      </c>
    </row>
    <row r="39" spans="2:18" ht="13.5" thickBot="1" x14ac:dyDescent="0.25">
      <c r="G39" s="26">
        <f>SUM(G37:G38)</f>
        <v>0</v>
      </c>
      <c r="H39" s="26">
        <f t="shared" ref="H39:R39" si="8">SUM(H37:H38)</f>
        <v>0</v>
      </c>
      <c r="I39" s="26">
        <f t="shared" si="8"/>
        <v>0</v>
      </c>
      <c r="J39" s="26">
        <f t="shared" si="8"/>
        <v>0</v>
      </c>
      <c r="K39" s="26">
        <f t="shared" si="8"/>
        <v>0</v>
      </c>
      <c r="L39" s="26">
        <f t="shared" si="8"/>
        <v>0</v>
      </c>
      <c r="M39" s="26">
        <f t="shared" si="8"/>
        <v>0</v>
      </c>
      <c r="N39" s="26">
        <f t="shared" si="8"/>
        <v>0</v>
      </c>
      <c r="O39" s="26">
        <f t="shared" si="8"/>
        <v>0</v>
      </c>
      <c r="P39" s="26">
        <f t="shared" si="8"/>
        <v>0</v>
      </c>
      <c r="Q39" s="26">
        <f t="shared" si="8"/>
        <v>0</v>
      </c>
      <c r="R39" s="26">
        <f t="shared" si="8"/>
        <v>0</v>
      </c>
    </row>
    <row r="40" spans="2:18" ht="13.5" thickTop="1" x14ac:dyDescent="0.2"/>
  </sheetData>
  <mergeCells count="3">
    <mergeCell ref="G2:L2"/>
    <mergeCell ref="M2:R2"/>
    <mergeCell ref="G7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6</xdr:col>
                    <xdr:colOff>0</xdr:colOff>
                    <xdr:row>23</xdr:row>
                    <xdr:rowOff>19050</xdr:rowOff>
                  </from>
                  <to>
                    <xdr:col>17</xdr:col>
                    <xdr:colOff>466725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MotionChart</vt:lpstr>
      <vt:lpstr>MotionChart (2)</vt:lpstr>
      <vt:lpstr>ColNum</vt:lpstr>
      <vt:lpstr>RowNum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AtifNaseem</dc:creator>
  <cp:lastModifiedBy>ANA</cp:lastModifiedBy>
  <dcterms:created xsi:type="dcterms:W3CDTF">2012-12-20T06:52:29Z</dcterms:created>
  <dcterms:modified xsi:type="dcterms:W3CDTF">2013-06-27T07:01:35Z</dcterms:modified>
</cp:coreProperties>
</file>