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480" yWindow="135" windowWidth="14355" windowHeight="8010" activeTab="2"/>
  </bookViews>
  <sheets>
    <sheet name="Calendar-Data" sheetId="8" r:id="rId1"/>
    <sheet name="Calendar-PivotTable" sheetId="20" r:id="rId2"/>
    <sheet name="Calendar" sheetId="19" r:id="rId3"/>
    <sheet name="Calendar (2)" sheetId="21" r:id="rId4"/>
  </sheets>
  <definedNames>
    <definedName name="Months" localSheetId="3">#REF!</definedName>
    <definedName name="Months">#REF!</definedName>
    <definedName name="_xlnm.Print_Area" localSheetId="2">Calendar!$C$2:$P$19</definedName>
    <definedName name="_xlnm.Print_Area" localSheetId="3">'Calendar (2)'!$C$2:$P$19</definedName>
    <definedName name="Slicer_Month">#N/A</definedName>
  </definedNames>
  <calcPr calcId="144525"/>
  <pivotCaches>
    <pivotCache cacheId="101" r:id="rId5"/>
  </pivotCaches>
  <fileRecoveryPr repairLoad="1"/>
  <extLst>
    <ext xmlns:x14="http://schemas.microsoft.com/office/spreadsheetml/2009/9/main" uri="{BBE1A952-AA13-448e-AADC-164F8A28A991}">
      <x14:slicerCaches>
        <x14:slicerCache r:id="rId6"/>
      </x14:slicerCaches>
    </ext>
    <ext xmlns:x14="http://schemas.microsoft.com/office/spreadsheetml/2009/9/main" uri="{79F54976-1DA5-4618-B147-4CDE4B953A38}">
      <x14:workbookPr/>
    </ext>
  </extLst>
</workbook>
</file>

<file path=xl/calcChain.xml><?xml version="1.0" encoding="utf-8"?>
<calcChain xmlns="http://schemas.openxmlformats.org/spreadsheetml/2006/main">
  <c r="K4" i="21" l="1"/>
  <c r="J4" i="21"/>
  <c r="I4" i="21"/>
  <c r="H4" i="21"/>
  <c r="G4" i="21"/>
  <c r="F4" i="21"/>
  <c r="E4" i="21"/>
  <c r="H10" i="21"/>
  <c r="J16" i="21"/>
  <c r="F12" i="21"/>
  <c r="I6" i="21"/>
  <c r="H12" i="21"/>
  <c r="K6" i="21"/>
  <c r="F8" i="21"/>
  <c r="J10" i="21"/>
  <c r="G16" i="21"/>
  <c r="E14" i="21"/>
  <c r="J12" i="21"/>
  <c r="E6" i="21"/>
  <c r="F14" i="21"/>
  <c r="I8" i="21"/>
  <c r="K16" i="21"/>
  <c r="I14" i="21"/>
  <c r="G12" i="21"/>
  <c r="E10" i="21"/>
  <c r="J8" i="21"/>
  <c r="H6" i="21"/>
  <c r="K14" i="21"/>
  <c r="I12" i="21"/>
  <c r="G10" i="21"/>
  <c r="E8" i="21"/>
  <c r="J6" i="21"/>
  <c r="G8" i="21"/>
  <c r="I16" i="21"/>
  <c r="E12" i="21"/>
  <c r="H8" i="21"/>
  <c r="F16" i="21"/>
  <c r="K12" i="21"/>
  <c r="H16" i="21"/>
  <c r="K10" i="21"/>
  <c r="G6" i="21"/>
  <c r="H14" i="21"/>
  <c r="K8" i="21"/>
  <c r="E16" i="21"/>
  <c r="J14" i="21"/>
  <c r="F10" i="21"/>
  <c r="I10" i="21"/>
  <c r="G14" i="21"/>
  <c r="F6" i="21"/>
  <c r="M2" i="21" l="1"/>
  <c r="O2" i="21" s="1"/>
  <c r="B4" i="21" s="1"/>
  <c r="B5" i="21" s="1"/>
  <c r="G17" i="21"/>
  <c r="I17" i="21"/>
  <c r="K17" i="21"/>
  <c r="H17" i="21"/>
  <c r="J17" i="21"/>
  <c r="G4" i="19"/>
  <c r="F4" i="19"/>
  <c r="E4" i="19"/>
  <c r="J14" i="19"/>
  <c r="H8" i="19"/>
  <c r="F10" i="19"/>
  <c r="J6" i="19"/>
  <c r="H12" i="19"/>
  <c r="E16" i="19"/>
  <c r="I10" i="19"/>
  <c r="K12" i="19"/>
  <c r="K8" i="19"/>
  <c r="H6" i="19"/>
  <c r="K10" i="19"/>
  <c r="J12" i="19"/>
  <c r="G16" i="19"/>
  <c r="E12" i="19"/>
  <c r="J10" i="19"/>
  <c r="F16" i="19"/>
  <c r="K14" i="19"/>
  <c r="E6" i="19"/>
  <c r="F14" i="19"/>
  <c r="K6" i="19"/>
  <c r="E8" i="19"/>
  <c r="F6" i="19"/>
  <c r="G10" i="19"/>
  <c r="I16" i="19"/>
  <c r="E10" i="19"/>
  <c r="G12" i="19"/>
  <c r="G8" i="19"/>
  <c r="I14" i="19"/>
  <c r="J8" i="19"/>
  <c r="F12" i="19"/>
  <c r="H14" i="19"/>
  <c r="H10" i="19"/>
  <c r="I8" i="19"/>
  <c r="E14" i="19"/>
  <c r="G14" i="19"/>
  <c r="K16" i="19"/>
  <c r="I12" i="19"/>
  <c r="G6" i="19"/>
  <c r="J16" i="19"/>
  <c r="H16" i="19"/>
  <c r="F8" i="19"/>
  <c r="I6" i="19"/>
  <c r="B6" i="21" l="1"/>
  <c r="H17" i="19"/>
  <c r="J17" i="19"/>
  <c r="G17" i="19"/>
  <c r="I17" i="19"/>
  <c r="K17" i="19"/>
  <c r="M2" i="19"/>
  <c r="O2" i="19" s="1"/>
  <c r="B4" i="19" s="1"/>
  <c r="B6" i="19" l="1"/>
  <c r="B5" i="19"/>
  <c r="K4" i="19" l="1"/>
  <c r="J4" i="19"/>
  <c r="I4" i="19"/>
  <c r="H4" i="19"/>
  <c r="B2" i="8"/>
  <c r="B4" i="8" l="1"/>
  <c r="C4" i="8" l="1"/>
  <c r="F4" i="8"/>
  <c r="B5" i="8"/>
  <c r="D4" i="8"/>
  <c r="C5" i="8"/>
  <c r="G4" i="8"/>
  <c r="E4" i="8"/>
  <c r="E5" i="8" l="1"/>
  <c r="G5" i="8"/>
  <c r="D5" i="8"/>
  <c r="F5" i="8" s="1"/>
  <c r="B6" i="8"/>
  <c r="D6" i="8" l="1"/>
  <c r="B7" i="8"/>
  <c r="E7" i="8" s="1"/>
  <c r="C6" i="8"/>
  <c r="G6" i="8"/>
  <c r="E6" i="8"/>
  <c r="F6" i="8" l="1"/>
  <c r="C7" i="8"/>
  <c r="G7" i="8"/>
  <c r="B8" i="8"/>
  <c r="D7" i="8"/>
  <c r="E8" i="8" l="1"/>
  <c r="F7" i="8"/>
  <c r="B9" i="8"/>
  <c r="E9" i="8" s="1"/>
  <c r="C8" i="8"/>
  <c r="G8" i="8"/>
  <c r="D8" i="8"/>
  <c r="F8" i="8" l="1"/>
  <c r="C9" i="8"/>
  <c r="G9" i="8"/>
  <c r="B10" i="8"/>
  <c r="E10" i="8" s="1"/>
  <c r="D9" i="8"/>
  <c r="F9" i="8" l="1"/>
  <c r="C10" i="8"/>
  <c r="G10" i="8"/>
  <c r="D10" i="8"/>
  <c r="B11" i="8"/>
  <c r="E11" i="8" s="1"/>
  <c r="F10" i="8" l="1"/>
  <c r="C11" i="8"/>
  <c r="G11" i="8"/>
  <c r="B12" i="8"/>
  <c r="E12" i="8" s="1"/>
  <c r="D11" i="8"/>
  <c r="F11" i="8" l="1"/>
  <c r="C12" i="8"/>
  <c r="D12" i="8"/>
  <c r="B13" i="8"/>
  <c r="G12" i="8"/>
  <c r="F12" i="8" l="1"/>
  <c r="C13" i="8"/>
  <c r="G13" i="8"/>
  <c r="B14" i="8"/>
  <c r="E13" i="8"/>
  <c r="D13" i="8"/>
  <c r="F13" i="8" l="1"/>
  <c r="C14" i="8"/>
  <c r="G14" i="8"/>
  <c r="D14" i="8"/>
  <c r="E14" i="8"/>
  <c r="B15" i="8"/>
  <c r="F14" i="8" l="1"/>
  <c r="C15" i="8"/>
  <c r="G15" i="8"/>
  <c r="B16" i="8"/>
  <c r="E15" i="8"/>
  <c r="D15" i="8"/>
  <c r="F15" i="8" l="1"/>
  <c r="C16" i="8"/>
  <c r="G16" i="8"/>
  <c r="D16" i="8"/>
  <c r="E16" i="8"/>
  <c r="B17" i="8"/>
  <c r="F16" i="8" l="1"/>
  <c r="C17" i="8"/>
  <c r="G17" i="8"/>
  <c r="B18" i="8"/>
  <c r="E17" i="8"/>
  <c r="D17" i="8"/>
  <c r="F17" i="8" l="1"/>
  <c r="E18" i="8"/>
  <c r="B19" i="8"/>
  <c r="C18" i="8"/>
  <c r="G18" i="8"/>
  <c r="D18" i="8"/>
  <c r="F18" i="8" l="1"/>
  <c r="C19" i="8"/>
  <c r="G19" i="8"/>
  <c r="B20" i="8"/>
  <c r="E19" i="8"/>
  <c r="D19" i="8"/>
  <c r="F19" i="8" l="1"/>
  <c r="C20" i="8"/>
  <c r="D20" i="8"/>
  <c r="E20" i="8"/>
  <c r="B21" i="8"/>
  <c r="G20" i="8"/>
  <c r="F20" i="8" l="1"/>
  <c r="C21" i="8"/>
  <c r="G21" i="8"/>
  <c r="B22" i="8"/>
  <c r="E21" i="8"/>
  <c r="D21" i="8"/>
  <c r="F21" i="8" l="1"/>
  <c r="C22" i="8"/>
  <c r="G22" i="8"/>
  <c r="D22" i="8"/>
  <c r="E22" i="8"/>
  <c r="B23" i="8"/>
  <c r="F22" i="8" l="1"/>
  <c r="C23" i="8"/>
  <c r="G23" i="8"/>
  <c r="B24" i="8"/>
  <c r="E23" i="8"/>
  <c r="D23" i="8"/>
  <c r="F23" i="8" l="1"/>
  <c r="E24" i="8"/>
  <c r="B25" i="8"/>
  <c r="C24" i="8"/>
  <c r="G24" i="8"/>
  <c r="D24" i="8"/>
  <c r="F24" i="8" l="1"/>
  <c r="C25" i="8"/>
  <c r="G25" i="8"/>
  <c r="B26" i="8"/>
  <c r="E25" i="8"/>
  <c r="D25" i="8"/>
  <c r="F25" i="8" l="1"/>
  <c r="C26" i="8"/>
  <c r="G26" i="8"/>
  <c r="D26" i="8"/>
  <c r="E26" i="8"/>
  <c r="B27" i="8"/>
  <c r="F26" i="8" l="1"/>
  <c r="C27" i="8"/>
  <c r="G27" i="8"/>
  <c r="B28" i="8"/>
  <c r="E27" i="8"/>
  <c r="D27" i="8"/>
  <c r="F27" i="8" l="1"/>
  <c r="E28" i="8"/>
  <c r="B29" i="8"/>
  <c r="C28" i="8"/>
  <c r="G28" i="8"/>
  <c r="D28" i="8"/>
  <c r="F28" i="8" l="1"/>
  <c r="C29" i="8"/>
  <c r="G29" i="8"/>
  <c r="B30" i="8"/>
  <c r="E29" i="8"/>
  <c r="D29" i="8"/>
  <c r="F29" i="8" l="1"/>
  <c r="C30" i="8"/>
  <c r="G30" i="8"/>
  <c r="D30" i="8"/>
  <c r="E30" i="8"/>
  <c r="B31" i="8"/>
  <c r="F30" i="8" l="1"/>
  <c r="C31" i="8"/>
  <c r="G31" i="8"/>
  <c r="B32" i="8"/>
  <c r="E31" i="8"/>
  <c r="D31" i="8"/>
  <c r="F31" i="8" l="1"/>
  <c r="C32" i="8"/>
  <c r="G32" i="8"/>
  <c r="E32" i="8"/>
  <c r="D32" i="8"/>
  <c r="B33" i="8"/>
  <c r="F32" i="8" l="1"/>
  <c r="C33" i="8"/>
  <c r="G33" i="8"/>
  <c r="E33" i="8"/>
  <c r="D33" i="8"/>
  <c r="B34" i="8"/>
  <c r="F33" i="8" l="1"/>
  <c r="C34" i="8"/>
  <c r="E34" i="8"/>
  <c r="D34" i="8"/>
  <c r="B35" i="8"/>
  <c r="G34" i="8"/>
  <c r="F34" i="8" l="1"/>
  <c r="C35" i="8"/>
  <c r="G35" i="8"/>
  <c r="E35" i="8"/>
  <c r="D35" i="8"/>
  <c r="F35" i="8" s="1"/>
  <c r="B36" i="8"/>
  <c r="C36" i="8" l="1"/>
  <c r="G36" i="8"/>
  <c r="E36" i="8"/>
  <c r="D36" i="8"/>
  <c r="B37" i="8"/>
  <c r="F36" i="8" l="1"/>
  <c r="E37" i="8"/>
  <c r="D37" i="8"/>
  <c r="B38" i="8"/>
  <c r="C37" i="8"/>
  <c r="G37" i="8"/>
  <c r="F37" i="8" l="1"/>
  <c r="E38" i="8"/>
  <c r="D38" i="8"/>
  <c r="B39" i="8"/>
  <c r="C38" i="8"/>
  <c r="G38" i="8"/>
  <c r="F38" i="8" l="1"/>
  <c r="C39" i="8"/>
  <c r="G39" i="8"/>
  <c r="E39" i="8"/>
  <c r="D39" i="8"/>
  <c r="B40" i="8"/>
  <c r="F39" i="8" l="1"/>
  <c r="C40" i="8"/>
  <c r="G40" i="8"/>
  <c r="E40" i="8"/>
  <c r="D40" i="8"/>
  <c r="B41" i="8"/>
  <c r="F40" i="8" l="1"/>
  <c r="E41" i="8"/>
  <c r="D41" i="8"/>
  <c r="B42" i="8"/>
  <c r="C41" i="8"/>
  <c r="G41" i="8"/>
  <c r="F41" i="8" l="1"/>
  <c r="E42" i="8"/>
  <c r="D42" i="8"/>
  <c r="B43" i="8"/>
  <c r="C42" i="8"/>
  <c r="G42" i="8"/>
  <c r="F42" i="8" l="1"/>
  <c r="C43" i="8"/>
  <c r="G43" i="8"/>
  <c r="E43" i="8"/>
  <c r="D43" i="8"/>
  <c r="B44" i="8"/>
  <c r="F43" i="8" l="1"/>
  <c r="C44" i="8"/>
  <c r="G44" i="8"/>
  <c r="E44" i="8"/>
  <c r="D44" i="8"/>
  <c r="B45" i="8"/>
  <c r="F44" i="8" l="1"/>
  <c r="E45" i="8"/>
  <c r="D45" i="8"/>
  <c r="B46" i="8"/>
  <c r="C45" i="8"/>
  <c r="G45" i="8"/>
  <c r="F45" i="8" l="1"/>
  <c r="E46" i="8"/>
  <c r="D46" i="8"/>
  <c r="B47" i="8"/>
  <c r="C46" i="8"/>
  <c r="G46" i="8"/>
  <c r="F46" i="8" l="1"/>
  <c r="C47" i="8"/>
  <c r="G47" i="8"/>
  <c r="E47" i="8"/>
  <c r="D47" i="8"/>
  <c r="B48" i="8"/>
  <c r="F47" i="8" l="1"/>
  <c r="C48" i="8"/>
  <c r="E48" i="8"/>
  <c r="D48" i="8"/>
  <c r="B49" i="8"/>
  <c r="G48" i="8"/>
  <c r="F48" i="8" l="1"/>
  <c r="C49" i="8"/>
  <c r="E49" i="8"/>
  <c r="G49" i="8"/>
  <c r="D49" i="8"/>
  <c r="F49" i="8" s="1"/>
  <c r="B50" i="8"/>
  <c r="D50" i="8" l="1"/>
  <c r="B51" i="8"/>
  <c r="G50" i="8"/>
  <c r="C50" i="8"/>
  <c r="E50" i="8"/>
  <c r="F50" i="8" l="1"/>
  <c r="D51" i="8"/>
  <c r="E51" i="8"/>
  <c r="C51" i="8"/>
  <c r="B52" i="8"/>
  <c r="G51" i="8"/>
  <c r="F51" i="8" l="1"/>
  <c r="D52" i="8"/>
  <c r="B53" i="8"/>
  <c r="E52" i="8"/>
  <c r="C52" i="8"/>
  <c r="G52" i="8"/>
  <c r="F52" i="8" l="1"/>
  <c r="C53" i="8"/>
  <c r="G53" i="8"/>
  <c r="D53" i="8"/>
  <c r="B54" i="8"/>
  <c r="E53" i="8"/>
  <c r="F53" i="8" l="1"/>
  <c r="D54" i="8"/>
  <c r="B55" i="8"/>
  <c r="E54" i="8"/>
  <c r="C54" i="8"/>
  <c r="G54" i="8"/>
  <c r="F54" i="8" l="1"/>
  <c r="D55" i="8"/>
  <c r="B56" i="8"/>
  <c r="E55" i="8"/>
  <c r="C55" i="8"/>
  <c r="G55" i="8"/>
  <c r="F55" i="8" l="1"/>
  <c r="D56" i="8"/>
  <c r="C56" i="8"/>
  <c r="G56" i="8"/>
  <c r="B57" i="8"/>
  <c r="E56" i="8"/>
  <c r="F56" i="8" l="1"/>
  <c r="D57" i="8"/>
  <c r="B58" i="8"/>
  <c r="E57" i="8"/>
  <c r="C57" i="8"/>
  <c r="G57" i="8"/>
  <c r="F57" i="8" l="1"/>
  <c r="D58" i="8"/>
  <c r="B59" i="8"/>
  <c r="E58" i="8"/>
  <c r="C58" i="8"/>
  <c r="G58" i="8"/>
  <c r="F58" i="8" l="1"/>
  <c r="E59" i="8"/>
  <c r="C59" i="8"/>
  <c r="G59" i="8"/>
  <c r="D59" i="8"/>
  <c r="B60" i="8"/>
  <c r="F59" i="8" l="1"/>
  <c r="D60" i="8"/>
  <c r="B61" i="8"/>
  <c r="E60" i="8"/>
  <c r="C60" i="8"/>
  <c r="G60" i="8"/>
  <c r="F60" i="8" l="1"/>
  <c r="D61" i="8"/>
  <c r="B62" i="8"/>
  <c r="E61" i="8"/>
  <c r="C61" i="8"/>
  <c r="G61" i="8"/>
  <c r="F61" i="8" l="1"/>
  <c r="D62" i="8"/>
  <c r="B63" i="8"/>
  <c r="E62" i="8"/>
  <c r="C62" i="8"/>
  <c r="G62" i="8"/>
  <c r="F62" i="8" l="1"/>
  <c r="D63" i="8"/>
  <c r="B64" i="8"/>
  <c r="E63" i="8"/>
  <c r="C63" i="8"/>
  <c r="G63" i="8"/>
  <c r="F63" i="8" l="1"/>
  <c r="D64" i="8"/>
  <c r="B65" i="8"/>
  <c r="E64" i="8"/>
  <c r="G64" i="8"/>
  <c r="C64" i="8"/>
  <c r="F64" i="8" l="1"/>
  <c r="C65" i="8"/>
  <c r="G65" i="8"/>
  <c r="D65" i="8"/>
  <c r="B66" i="8"/>
  <c r="E65" i="8"/>
  <c r="F65" i="8" l="1"/>
  <c r="C66" i="8"/>
  <c r="G66" i="8"/>
  <c r="D66" i="8"/>
  <c r="B67" i="8"/>
  <c r="E66" i="8"/>
  <c r="F66" i="8" l="1"/>
  <c r="D67" i="8"/>
  <c r="B68" i="8"/>
  <c r="E67" i="8"/>
  <c r="C67" i="8"/>
  <c r="G67" i="8"/>
  <c r="F67" i="8" l="1"/>
  <c r="D68" i="8"/>
  <c r="B69" i="8"/>
  <c r="E68" i="8"/>
  <c r="C68" i="8"/>
  <c r="G68" i="8"/>
  <c r="F68" i="8" l="1"/>
  <c r="D69" i="8"/>
  <c r="B70" i="8"/>
  <c r="E69" i="8"/>
  <c r="C69" i="8"/>
  <c r="G69" i="8"/>
  <c r="F69" i="8" l="1"/>
  <c r="D70" i="8"/>
  <c r="B71" i="8"/>
  <c r="E70" i="8"/>
  <c r="C70" i="8"/>
  <c r="G70" i="8"/>
  <c r="F70" i="8" l="1"/>
  <c r="E71" i="8"/>
  <c r="C71" i="8"/>
  <c r="G71" i="8"/>
  <c r="D71" i="8"/>
  <c r="B72" i="8"/>
  <c r="F71" i="8" l="1"/>
  <c r="C72" i="8"/>
  <c r="G72" i="8"/>
  <c r="D72" i="8"/>
  <c r="B73" i="8"/>
  <c r="E72" i="8"/>
  <c r="F72" i="8" l="1"/>
  <c r="D73" i="8"/>
  <c r="B74" i="8"/>
  <c r="E73" i="8"/>
  <c r="G73" i="8"/>
  <c r="C73" i="8"/>
  <c r="F73" i="8" l="1"/>
  <c r="D74" i="8"/>
  <c r="B75" i="8"/>
  <c r="E74" i="8"/>
  <c r="C74" i="8"/>
  <c r="G74" i="8"/>
  <c r="F74" i="8" l="1"/>
  <c r="C75" i="8"/>
  <c r="G75" i="8"/>
  <c r="D75" i="8"/>
  <c r="B76" i="8"/>
  <c r="E75" i="8"/>
  <c r="F75" i="8" l="1"/>
  <c r="D76" i="8"/>
  <c r="C76" i="8"/>
  <c r="G76" i="8"/>
  <c r="E76" i="8"/>
  <c r="B77" i="8"/>
  <c r="F76" i="8" l="1"/>
  <c r="C77" i="8"/>
  <c r="G77" i="8"/>
  <c r="D77" i="8"/>
  <c r="E77" i="8"/>
  <c r="B78" i="8"/>
  <c r="F77" i="8" l="1"/>
  <c r="E78" i="8"/>
  <c r="D78" i="8"/>
  <c r="C78" i="8"/>
  <c r="G78" i="8"/>
  <c r="B79" i="8"/>
  <c r="F78" i="8" l="1"/>
  <c r="C79" i="8"/>
  <c r="E79" i="8"/>
  <c r="B80" i="8"/>
  <c r="G79" i="8"/>
  <c r="D79" i="8"/>
  <c r="F79" i="8" l="1"/>
  <c r="C80" i="8"/>
  <c r="E80" i="8"/>
  <c r="D80" i="8"/>
  <c r="G80" i="8"/>
  <c r="B81" i="8"/>
  <c r="F80" i="8" l="1"/>
  <c r="G81" i="8"/>
  <c r="E81" i="8"/>
  <c r="B82" i="8"/>
  <c r="C81" i="8"/>
  <c r="D81" i="8"/>
  <c r="F81" i="8" l="1"/>
  <c r="C82" i="8"/>
  <c r="G82" i="8"/>
  <c r="B83" i="8"/>
  <c r="E82" i="8"/>
  <c r="D82" i="8"/>
  <c r="F82" i="8" l="1"/>
  <c r="G83" i="8"/>
  <c r="E83" i="8"/>
  <c r="B84" i="8"/>
  <c r="C83" i="8"/>
  <c r="D83" i="8"/>
  <c r="F83" i="8" l="1"/>
  <c r="C84" i="8"/>
  <c r="G84" i="8"/>
  <c r="B85" i="8"/>
  <c r="E84" i="8"/>
  <c r="D84" i="8"/>
  <c r="F84" i="8" l="1"/>
  <c r="G85" i="8"/>
  <c r="E85" i="8"/>
  <c r="B86" i="8"/>
  <c r="C85" i="8"/>
  <c r="D85" i="8"/>
  <c r="F85" i="8" l="1"/>
  <c r="C86" i="8"/>
  <c r="G86" i="8"/>
  <c r="B87" i="8"/>
  <c r="E86" i="8"/>
  <c r="D86" i="8"/>
  <c r="F86" i="8" l="1"/>
  <c r="G87" i="8"/>
  <c r="E87" i="8"/>
  <c r="B88" i="8"/>
  <c r="C87" i="8"/>
  <c r="D87" i="8"/>
  <c r="F87" i="8" l="1"/>
  <c r="C88" i="8"/>
  <c r="G88" i="8"/>
  <c r="B89" i="8"/>
  <c r="D88" i="8"/>
  <c r="E88" i="8"/>
  <c r="F88" i="8" l="1"/>
  <c r="D89" i="8"/>
  <c r="E89" i="8"/>
  <c r="B90" i="8"/>
  <c r="C89" i="8"/>
  <c r="G89" i="8"/>
  <c r="F89" i="8" l="1"/>
  <c r="C90" i="8"/>
  <c r="G90" i="8"/>
  <c r="B91" i="8"/>
  <c r="E90" i="8"/>
  <c r="D90" i="8"/>
  <c r="F90" i="8" l="1"/>
  <c r="E91" i="8"/>
  <c r="B92" i="8"/>
  <c r="C91" i="8"/>
  <c r="G91" i="8"/>
  <c r="D91" i="8"/>
  <c r="F91" i="8" l="1"/>
  <c r="C92" i="8"/>
  <c r="G92" i="8"/>
  <c r="B93" i="8"/>
  <c r="E92" i="8"/>
  <c r="D92" i="8"/>
  <c r="F92" i="8" l="1"/>
  <c r="C93" i="8"/>
  <c r="G93" i="8"/>
  <c r="D93" i="8"/>
  <c r="E93" i="8"/>
  <c r="B94" i="8"/>
  <c r="F93" i="8" l="1"/>
  <c r="C94" i="8"/>
  <c r="G94" i="8"/>
  <c r="B95" i="8"/>
  <c r="D94" i="8"/>
  <c r="E94" i="8"/>
  <c r="F94" i="8" l="1"/>
  <c r="G95" i="8"/>
  <c r="E95" i="8"/>
  <c r="B96" i="8"/>
  <c r="C95" i="8"/>
  <c r="D95" i="8"/>
  <c r="F95" i="8" l="1"/>
  <c r="C96" i="8"/>
  <c r="G96" i="8"/>
  <c r="B97" i="8"/>
  <c r="E96" i="8"/>
  <c r="D96" i="8"/>
  <c r="F96" i="8" l="1"/>
  <c r="C97" i="8"/>
  <c r="E97" i="8"/>
  <c r="B98" i="8"/>
  <c r="G97" i="8"/>
  <c r="D97" i="8"/>
  <c r="F97" i="8" l="1"/>
  <c r="C98" i="8"/>
  <c r="G98" i="8"/>
  <c r="B99" i="8"/>
  <c r="D98" i="8"/>
  <c r="E98" i="8"/>
  <c r="F98" i="8" l="1"/>
  <c r="G99" i="8"/>
  <c r="E99" i="8"/>
  <c r="B100" i="8"/>
  <c r="C99" i="8"/>
  <c r="D99" i="8"/>
  <c r="F99" i="8" l="1"/>
  <c r="C100" i="8"/>
  <c r="G100" i="8"/>
  <c r="B101" i="8"/>
  <c r="E100" i="8"/>
  <c r="D100" i="8"/>
  <c r="F100" i="8" l="1"/>
  <c r="G101" i="8"/>
  <c r="E101" i="8"/>
  <c r="B102" i="8"/>
  <c r="C101" i="8"/>
  <c r="D101" i="8"/>
  <c r="F101" i="8" l="1"/>
  <c r="C102" i="8"/>
  <c r="G102" i="8"/>
  <c r="B103" i="8"/>
  <c r="E102" i="8"/>
  <c r="D102" i="8"/>
  <c r="F102" i="8" l="1"/>
  <c r="C103" i="8"/>
  <c r="G103" i="8"/>
  <c r="E103" i="8"/>
  <c r="B104" i="8"/>
  <c r="D103" i="8"/>
  <c r="F103" i="8" l="1"/>
  <c r="C104" i="8"/>
  <c r="G104" i="8"/>
  <c r="B105" i="8"/>
  <c r="E104" i="8"/>
  <c r="D104" i="8"/>
  <c r="F104" i="8" l="1"/>
  <c r="C105" i="8"/>
  <c r="G105" i="8"/>
  <c r="D105" i="8"/>
  <c r="E105" i="8"/>
  <c r="B106" i="8"/>
  <c r="F105" i="8" l="1"/>
  <c r="C106" i="8"/>
  <c r="D106" i="8"/>
  <c r="E106" i="8"/>
  <c r="G106" i="8"/>
  <c r="B107" i="8"/>
  <c r="F106" i="8" l="1"/>
  <c r="E107" i="8"/>
  <c r="D107" i="8"/>
  <c r="B108" i="8"/>
  <c r="C107" i="8"/>
  <c r="G107" i="8"/>
  <c r="F107" i="8" l="1"/>
  <c r="E108" i="8"/>
  <c r="D108" i="8"/>
  <c r="B109" i="8"/>
  <c r="C108" i="8"/>
  <c r="G108" i="8"/>
  <c r="F108" i="8" l="1"/>
  <c r="C109" i="8"/>
  <c r="G109" i="8"/>
  <c r="E109" i="8"/>
  <c r="B110" i="8"/>
  <c r="D109" i="8"/>
  <c r="F109" i="8" l="1"/>
  <c r="C110" i="8"/>
  <c r="G110" i="8"/>
  <c r="E110" i="8"/>
  <c r="D110" i="8"/>
  <c r="B111" i="8"/>
  <c r="F110" i="8" l="1"/>
  <c r="C111" i="8"/>
  <c r="G111" i="8"/>
  <c r="E111" i="8"/>
  <c r="D111" i="8"/>
  <c r="B112" i="8"/>
  <c r="F111" i="8" l="1"/>
  <c r="E112" i="8"/>
  <c r="D112" i="8"/>
  <c r="B113" i="8"/>
  <c r="C112" i="8"/>
  <c r="G112" i="8"/>
  <c r="F112" i="8" l="1"/>
  <c r="E113" i="8"/>
  <c r="D113" i="8"/>
  <c r="B114" i="8"/>
  <c r="C113" i="8"/>
  <c r="G113" i="8"/>
  <c r="F113" i="8" l="1"/>
  <c r="C114" i="8"/>
  <c r="G114" i="8"/>
  <c r="D114" i="8"/>
  <c r="B115" i="8"/>
  <c r="E114" i="8"/>
  <c r="F114" i="8" l="1"/>
  <c r="E115" i="8"/>
  <c r="D115" i="8"/>
  <c r="B116" i="8"/>
  <c r="C115" i="8"/>
  <c r="G115" i="8"/>
  <c r="F115" i="8" l="1"/>
  <c r="C116" i="8"/>
  <c r="G116" i="8"/>
  <c r="E116" i="8"/>
  <c r="D116" i="8"/>
  <c r="B117" i="8"/>
  <c r="F116" i="8" l="1"/>
  <c r="C117" i="8"/>
  <c r="G117" i="8"/>
  <c r="E117" i="8"/>
  <c r="B118" i="8"/>
  <c r="D117" i="8"/>
  <c r="F117" i="8" l="1"/>
  <c r="E118" i="8"/>
  <c r="D118" i="8"/>
  <c r="B119" i="8"/>
  <c r="C118" i="8"/>
  <c r="G118" i="8"/>
  <c r="F118" i="8" l="1"/>
  <c r="C119" i="8"/>
  <c r="G119" i="8"/>
  <c r="E119" i="8"/>
  <c r="D119" i="8"/>
  <c r="B120" i="8"/>
  <c r="F119" i="8" l="1"/>
  <c r="C120" i="8"/>
  <c r="G120" i="8"/>
  <c r="E120" i="8"/>
  <c r="D120" i="8"/>
  <c r="B121" i="8"/>
  <c r="F120" i="8" l="1"/>
  <c r="E121" i="8"/>
  <c r="D121" i="8"/>
  <c r="B122" i="8"/>
  <c r="C121" i="8"/>
  <c r="G121" i="8"/>
  <c r="F121" i="8" l="1"/>
  <c r="E122" i="8"/>
  <c r="D122" i="8"/>
  <c r="B123" i="8"/>
  <c r="C122" i="8"/>
  <c r="G122" i="8"/>
  <c r="F122" i="8" l="1"/>
  <c r="C123" i="8"/>
  <c r="G123" i="8"/>
  <c r="E123" i="8"/>
  <c r="B124" i="8"/>
  <c r="D123" i="8"/>
  <c r="F123" i="8" l="1"/>
  <c r="C124" i="8"/>
  <c r="G124" i="8"/>
  <c r="E124" i="8"/>
  <c r="D124" i="8"/>
  <c r="F124" i="8" s="1"/>
  <c r="B125" i="8"/>
  <c r="C125" i="8" l="1"/>
  <c r="G125" i="8"/>
  <c r="E125" i="8"/>
  <c r="D125" i="8"/>
  <c r="B126" i="8"/>
  <c r="F125" i="8" l="1"/>
  <c r="E126" i="8"/>
  <c r="D126" i="8"/>
  <c r="B127" i="8"/>
  <c r="C126" i="8"/>
  <c r="G126" i="8"/>
  <c r="F126" i="8" l="1"/>
  <c r="E127" i="8"/>
  <c r="D127" i="8"/>
  <c r="B128" i="8"/>
  <c r="C127" i="8"/>
  <c r="G127" i="8"/>
  <c r="F127" i="8" l="1"/>
  <c r="C128" i="8"/>
  <c r="G128" i="8"/>
  <c r="E128" i="8"/>
  <c r="D128" i="8"/>
  <c r="B129" i="8"/>
  <c r="F128" i="8" l="1"/>
  <c r="C129" i="8"/>
  <c r="G129" i="8"/>
  <c r="D129" i="8"/>
  <c r="E129" i="8"/>
  <c r="B130" i="8"/>
  <c r="F129" i="8" l="1"/>
  <c r="E130" i="8"/>
  <c r="D130" i="8"/>
  <c r="B131" i="8"/>
  <c r="C130" i="8"/>
  <c r="G130" i="8"/>
  <c r="F130" i="8" l="1"/>
  <c r="C131" i="8"/>
  <c r="G131" i="8"/>
  <c r="E131" i="8"/>
  <c r="D131" i="8"/>
  <c r="B132" i="8"/>
  <c r="F131" i="8" l="1"/>
  <c r="C132" i="8"/>
  <c r="E132" i="8"/>
  <c r="D132" i="8"/>
  <c r="B133" i="8"/>
  <c r="G132" i="8"/>
  <c r="F132" i="8" l="1"/>
  <c r="G133" i="8"/>
  <c r="E133" i="8"/>
  <c r="D133" i="8"/>
  <c r="B134" i="8"/>
  <c r="C133" i="8"/>
  <c r="F133" i="8" l="1"/>
  <c r="C134" i="8"/>
  <c r="G134" i="8"/>
  <c r="B135" i="8"/>
  <c r="E134" i="8"/>
  <c r="D134" i="8"/>
  <c r="F134" i="8" l="1"/>
  <c r="C135" i="8"/>
  <c r="G135" i="8"/>
  <c r="D135" i="8"/>
  <c r="E135" i="8"/>
  <c r="B136" i="8"/>
  <c r="F135" i="8" l="1"/>
  <c r="C136" i="8"/>
  <c r="G136" i="8"/>
  <c r="B137" i="8"/>
  <c r="E136" i="8"/>
  <c r="D136" i="8"/>
  <c r="F136" i="8" l="1"/>
  <c r="E137" i="8"/>
  <c r="B138" i="8"/>
  <c r="C137" i="8"/>
  <c r="G137" i="8"/>
  <c r="D137" i="8"/>
  <c r="F137" i="8" l="1"/>
  <c r="C138" i="8"/>
  <c r="G138" i="8"/>
  <c r="B139" i="8"/>
  <c r="E138" i="8"/>
  <c r="D138" i="8"/>
  <c r="F138" i="8" l="1"/>
  <c r="C139" i="8"/>
  <c r="G139" i="8"/>
  <c r="D139" i="8"/>
  <c r="E139" i="8"/>
  <c r="B140" i="8"/>
  <c r="F139" i="8" l="1"/>
  <c r="C140" i="8"/>
  <c r="G140" i="8"/>
  <c r="B141" i="8"/>
  <c r="E140" i="8"/>
  <c r="D140" i="8"/>
  <c r="F140" i="8" l="1"/>
  <c r="G141" i="8"/>
  <c r="E141" i="8"/>
  <c r="B142" i="8"/>
  <c r="C141" i="8"/>
  <c r="D141" i="8"/>
  <c r="F141" i="8" l="1"/>
  <c r="C142" i="8"/>
  <c r="G142" i="8"/>
  <c r="B143" i="8"/>
  <c r="E142" i="8"/>
  <c r="D142" i="8"/>
  <c r="F142" i="8" l="1"/>
  <c r="G143" i="8"/>
  <c r="E143" i="8"/>
  <c r="B144" i="8"/>
  <c r="C143" i="8"/>
  <c r="D143" i="8"/>
  <c r="F143" i="8" l="1"/>
  <c r="C144" i="8"/>
  <c r="G144" i="8"/>
  <c r="B145" i="8"/>
  <c r="E144" i="8"/>
  <c r="D144" i="8"/>
  <c r="F144" i="8" l="1"/>
  <c r="G145" i="8"/>
  <c r="E145" i="8"/>
  <c r="B146" i="8"/>
  <c r="C145" i="8"/>
  <c r="D145" i="8"/>
  <c r="F145" i="8" l="1"/>
  <c r="C146" i="8"/>
  <c r="G146" i="8"/>
  <c r="B147" i="8"/>
  <c r="E146" i="8"/>
  <c r="D146" i="8"/>
  <c r="F146" i="8" l="1"/>
  <c r="G147" i="8"/>
  <c r="E147" i="8"/>
  <c r="B148" i="8"/>
  <c r="C147" i="8"/>
  <c r="D147" i="8"/>
  <c r="F147" i="8" l="1"/>
  <c r="C148" i="8"/>
  <c r="E148" i="8"/>
  <c r="B149" i="8"/>
  <c r="G148" i="8"/>
  <c r="D148" i="8"/>
  <c r="F148" i="8" l="1"/>
  <c r="C149" i="8"/>
  <c r="G149" i="8"/>
  <c r="D149" i="8"/>
  <c r="B150" i="8"/>
  <c r="E149" i="8"/>
  <c r="F149" i="8" l="1"/>
  <c r="D150" i="8"/>
  <c r="B151" i="8"/>
  <c r="E150" i="8"/>
  <c r="C150" i="8"/>
  <c r="G150" i="8"/>
  <c r="F150" i="8" l="1"/>
  <c r="D151" i="8"/>
  <c r="B152" i="8"/>
  <c r="E151" i="8"/>
  <c r="C151" i="8"/>
  <c r="G151" i="8"/>
  <c r="F151" i="8" l="1"/>
  <c r="C152" i="8"/>
  <c r="G152" i="8"/>
  <c r="D152" i="8"/>
  <c r="B153" i="8"/>
  <c r="E152" i="8"/>
  <c r="F152" i="8" l="1"/>
  <c r="D153" i="8"/>
  <c r="B154" i="8"/>
  <c r="E153" i="8"/>
  <c r="C153" i="8"/>
  <c r="G153" i="8"/>
  <c r="F153" i="8" l="1"/>
  <c r="D154" i="8"/>
  <c r="B155" i="8"/>
  <c r="E154" i="8"/>
  <c r="C154" i="8"/>
  <c r="G154" i="8"/>
  <c r="F154" i="8" l="1"/>
  <c r="D155" i="8"/>
  <c r="B156" i="8"/>
  <c r="E155" i="8"/>
  <c r="C155" i="8"/>
  <c r="G155" i="8"/>
  <c r="F155" i="8" l="1"/>
  <c r="D156" i="8"/>
  <c r="B157" i="8"/>
  <c r="E156" i="8"/>
  <c r="C156" i="8"/>
  <c r="G156" i="8"/>
  <c r="F156" i="8" l="1"/>
  <c r="D157" i="8"/>
  <c r="B158" i="8"/>
  <c r="E157" i="8"/>
  <c r="C157" i="8"/>
  <c r="G157" i="8"/>
  <c r="F157" i="8" l="1"/>
  <c r="D158" i="8"/>
  <c r="B159" i="8"/>
  <c r="E158" i="8"/>
  <c r="C158" i="8"/>
  <c r="G158" i="8"/>
  <c r="F158" i="8" l="1"/>
  <c r="D159" i="8"/>
  <c r="B160" i="8"/>
  <c r="E159" i="8"/>
  <c r="C159" i="8"/>
  <c r="G159" i="8"/>
  <c r="F159" i="8" l="1"/>
  <c r="D160" i="8"/>
  <c r="B161" i="8"/>
  <c r="E160" i="8"/>
  <c r="C160" i="8"/>
  <c r="G160" i="8"/>
  <c r="F160" i="8" l="1"/>
  <c r="D161" i="8"/>
  <c r="B162" i="8"/>
  <c r="E161" i="8"/>
  <c r="C161" i="8"/>
  <c r="G161" i="8"/>
  <c r="F161" i="8" l="1"/>
  <c r="D162" i="8"/>
  <c r="B163" i="8"/>
  <c r="E162" i="8"/>
  <c r="C162" i="8"/>
  <c r="G162" i="8"/>
  <c r="F162" i="8" l="1"/>
  <c r="D163" i="8"/>
  <c r="B164" i="8"/>
  <c r="E163" i="8"/>
  <c r="C163" i="8"/>
  <c r="G163" i="8"/>
  <c r="F163" i="8" l="1"/>
  <c r="D164" i="8"/>
  <c r="B165" i="8"/>
  <c r="E164" i="8"/>
  <c r="C164" i="8"/>
  <c r="G164" i="8"/>
  <c r="F164" i="8" l="1"/>
  <c r="C165" i="8"/>
  <c r="G165" i="8"/>
  <c r="D165" i="8"/>
  <c r="B166" i="8"/>
  <c r="E165" i="8"/>
  <c r="F165" i="8" l="1"/>
  <c r="D166" i="8"/>
  <c r="B167" i="8"/>
  <c r="E166" i="8"/>
  <c r="C166" i="8"/>
  <c r="G166" i="8"/>
  <c r="F166" i="8" l="1"/>
  <c r="D167" i="8"/>
  <c r="B168" i="8"/>
  <c r="E167" i="8"/>
  <c r="C167" i="8"/>
  <c r="G167" i="8"/>
  <c r="F167" i="8" l="1"/>
  <c r="C168" i="8"/>
  <c r="G168" i="8"/>
  <c r="D168" i="8"/>
  <c r="B169" i="8"/>
  <c r="E168" i="8"/>
  <c r="F168" i="8" l="1"/>
  <c r="D169" i="8"/>
  <c r="B170" i="8"/>
  <c r="E169" i="8"/>
  <c r="C169" i="8"/>
  <c r="G169" i="8"/>
  <c r="F169" i="8" l="1"/>
  <c r="D170" i="8"/>
  <c r="B171" i="8"/>
  <c r="C170" i="8"/>
  <c r="G170" i="8"/>
  <c r="E170" i="8"/>
  <c r="F170" i="8" l="1"/>
  <c r="D171" i="8"/>
  <c r="B172" i="8"/>
  <c r="E171" i="8"/>
  <c r="C171" i="8"/>
  <c r="G171" i="8"/>
  <c r="F171" i="8" l="1"/>
  <c r="D172" i="8"/>
  <c r="B173" i="8"/>
  <c r="E172" i="8"/>
  <c r="C172" i="8"/>
  <c r="G172" i="8"/>
  <c r="F172" i="8" l="1"/>
  <c r="D173" i="8"/>
  <c r="B174" i="8"/>
  <c r="E173" i="8"/>
  <c r="C173" i="8"/>
  <c r="G173" i="8"/>
  <c r="F173" i="8" l="1"/>
  <c r="D174" i="8"/>
  <c r="B175" i="8"/>
  <c r="E174" i="8"/>
  <c r="C174" i="8"/>
  <c r="G174" i="8"/>
  <c r="F174" i="8" l="1"/>
  <c r="D175" i="8"/>
  <c r="B176" i="8"/>
  <c r="E175" i="8"/>
  <c r="G175" i="8"/>
  <c r="C175" i="8"/>
  <c r="F175" i="8" l="1"/>
  <c r="C176" i="8"/>
  <c r="G176" i="8"/>
  <c r="D176" i="8"/>
  <c r="B177" i="8"/>
  <c r="E176" i="8"/>
  <c r="F176" i="8" l="1"/>
  <c r="E177" i="8"/>
  <c r="C177" i="8"/>
  <c r="G177" i="8"/>
  <c r="D177" i="8"/>
  <c r="B178" i="8"/>
  <c r="F177" i="8" l="1"/>
  <c r="D178" i="8"/>
  <c r="B179" i="8"/>
  <c r="E178" i="8"/>
  <c r="C178" i="8"/>
  <c r="G178" i="8"/>
  <c r="F178" i="8" l="1"/>
  <c r="D179" i="8"/>
  <c r="B180" i="8"/>
  <c r="E179" i="8"/>
  <c r="C179" i="8"/>
  <c r="G179" i="8"/>
  <c r="F179" i="8" l="1"/>
  <c r="D180" i="8"/>
  <c r="B181" i="8"/>
  <c r="E180" i="8"/>
  <c r="C180" i="8"/>
  <c r="G180" i="8"/>
  <c r="F180" i="8" l="1"/>
  <c r="D181" i="8"/>
  <c r="B182" i="8"/>
  <c r="E181" i="8"/>
  <c r="C181" i="8"/>
  <c r="G181" i="8"/>
  <c r="F181" i="8" l="1"/>
  <c r="C182" i="8"/>
  <c r="G182" i="8"/>
  <c r="D182" i="8"/>
  <c r="B183" i="8"/>
  <c r="E182" i="8"/>
  <c r="F182" i="8" l="1"/>
  <c r="D183" i="8"/>
  <c r="B184" i="8"/>
  <c r="E183" i="8"/>
  <c r="C183" i="8"/>
  <c r="G183" i="8"/>
  <c r="F183" i="8" l="1"/>
  <c r="D184" i="8"/>
  <c r="C184" i="8"/>
  <c r="G184" i="8"/>
  <c r="B185" i="8"/>
  <c r="E184" i="8"/>
  <c r="F184" i="8" l="1"/>
  <c r="C185" i="8"/>
  <c r="G185" i="8"/>
  <c r="D185" i="8"/>
  <c r="B186" i="8"/>
  <c r="E185" i="8"/>
  <c r="F185" i="8" l="1"/>
  <c r="D186" i="8"/>
  <c r="B187" i="8"/>
  <c r="E186" i="8"/>
  <c r="C186" i="8"/>
  <c r="G186" i="8"/>
  <c r="F186" i="8" l="1"/>
  <c r="C187" i="8"/>
  <c r="G187" i="8"/>
  <c r="D187" i="8"/>
  <c r="B188" i="8"/>
  <c r="E187" i="8"/>
  <c r="F187" i="8" l="1"/>
  <c r="D188" i="8"/>
  <c r="C188" i="8"/>
  <c r="G188" i="8"/>
  <c r="B189" i="8"/>
  <c r="E188" i="8"/>
  <c r="F188" i="8" l="1"/>
  <c r="D189" i="8"/>
  <c r="B190" i="8"/>
  <c r="E189" i="8"/>
  <c r="C189" i="8"/>
  <c r="G189" i="8"/>
  <c r="F189" i="8" l="1"/>
  <c r="D190" i="8"/>
  <c r="B191" i="8"/>
  <c r="E190" i="8"/>
  <c r="G190" i="8"/>
  <c r="C190" i="8"/>
  <c r="F190" i="8" l="1"/>
  <c r="D191" i="8"/>
  <c r="B192" i="8"/>
  <c r="E191" i="8"/>
  <c r="C191" i="8"/>
  <c r="G191" i="8"/>
  <c r="F191" i="8" l="1"/>
  <c r="D192" i="8"/>
  <c r="B193" i="8"/>
  <c r="E192" i="8"/>
  <c r="C192" i="8"/>
  <c r="G192" i="8"/>
  <c r="F192" i="8" l="1"/>
  <c r="D193" i="8"/>
  <c r="B194" i="8"/>
  <c r="E193" i="8"/>
  <c r="C193" i="8"/>
  <c r="G193" i="8"/>
  <c r="F193" i="8" l="1"/>
  <c r="D194" i="8"/>
  <c r="B195" i="8"/>
  <c r="E194" i="8"/>
  <c r="C194" i="8"/>
  <c r="G194" i="8"/>
  <c r="F194" i="8" l="1"/>
  <c r="D195" i="8"/>
  <c r="B196" i="8"/>
  <c r="E195" i="8"/>
  <c r="G195" i="8"/>
  <c r="C195" i="8"/>
  <c r="F195" i="8" l="1"/>
  <c r="D196" i="8"/>
  <c r="B197" i="8"/>
  <c r="E196" i="8"/>
  <c r="C196" i="8"/>
  <c r="G196" i="8"/>
  <c r="F196" i="8" l="1"/>
  <c r="C197" i="8"/>
  <c r="G197" i="8"/>
  <c r="D197" i="8"/>
  <c r="B198" i="8"/>
  <c r="E197" i="8"/>
  <c r="F197" i="8" l="1"/>
  <c r="D198" i="8"/>
  <c r="B199" i="8"/>
  <c r="E198" i="8"/>
  <c r="C198" i="8"/>
  <c r="G198" i="8"/>
  <c r="F198" i="8" l="1"/>
  <c r="D199" i="8"/>
  <c r="B200" i="8"/>
  <c r="E199" i="8"/>
  <c r="C199" i="8"/>
  <c r="G199" i="8"/>
  <c r="F199" i="8" l="1"/>
  <c r="D200" i="8"/>
  <c r="B201" i="8"/>
  <c r="E200" i="8"/>
  <c r="C200" i="8"/>
  <c r="G200" i="8"/>
  <c r="F200" i="8" l="1"/>
  <c r="D201" i="8"/>
  <c r="B202" i="8"/>
  <c r="E201" i="8"/>
  <c r="C201" i="8"/>
  <c r="G201" i="8"/>
  <c r="F201" i="8" l="1"/>
  <c r="D202" i="8"/>
  <c r="B203" i="8"/>
  <c r="E202" i="8"/>
  <c r="C202" i="8"/>
  <c r="G202" i="8"/>
  <c r="F202" i="8" l="1"/>
  <c r="D203" i="8"/>
  <c r="B204" i="8"/>
  <c r="E203" i="8"/>
  <c r="C203" i="8"/>
  <c r="G203" i="8"/>
  <c r="F203" i="8" l="1"/>
  <c r="D204" i="8"/>
  <c r="B205" i="8"/>
  <c r="E204" i="8"/>
  <c r="C204" i="8"/>
  <c r="G204" i="8"/>
  <c r="F204" i="8" l="1"/>
  <c r="D205" i="8"/>
  <c r="B206" i="8"/>
  <c r="E205" i="8"/>
  <c r="G205" i="8"/>
  <c r="C205" i="8"/>
  <c r="F205" i="8" l="1"/>
  <c r="D206" i="8"/>
  <c r="B207" i="8"/>
  <c r="E206" i="8"/>
  <c r="C206" i="8"/>
  <c r="G206" i="8"/>
  <c r="F206" i="8" l="1"/>
  <c r="C207" i="8"/>
  <c r="G207" i="8"/>
  <c r="D207" i="8"/>
  <c r="B208" i="8"/>
  <c r="E207" i="8"/>
  <c r="F207" i="8" l="1"/>
  <c r="D208" i="8"/>
  <c r="B209" i="8"/>
  <c r="E208" i="8"/>
  <c r="C208" i="8"/>
  <c r="G208" i="8"/>
  <c r="F208" i="8" l="1"/>
  <c r="D209" i="8"/>
  <c r="B210" i="8"/>
  <c r="C209" i="8"/>
  <c r="G209" i="8"/>
  <c r="E209" i="8"/>
  <c r="F209" i="8" l="1"/>
  <c r="D210" i="8"/>
  <c r="B211" i="8"/>
  <c r="E210" i="8"/>
  <c r="C210" i="8"/>
  <c r="G210" i="8"/>
  <c r="F210" i="8" l="1"/>
  <c r="D211" i="8"/>
  <c r="B212" i="8"/>
  <c r="E211" i="8"/>
  <c r="C211" i="8"/>
  <c r="G211" i="8"/>
  <c r="F211" i="8" l="1"/>
  <c r="D212" i="8"/>
  <c r="B213" i="8"/>
  <c r="E212" i="8"/>
  <c r="C212" i="8"/>
  <c r="G212" i="8"/>
  <c r="F212" i="8" l="1"/>
  <c r="D213" i="8"/>
  <c r="B214" i="8"/>
  <c r="E213" i="8"/>
  <c r="C213" i="8"/>
  <c r="G213" i="8"/>
  <c r="F213" i="8" l="1"/>
  <c r="D214" i="8"/>
  <c r="B215" i="8"/>
  <c r="E214" i="8"/>
  <c r="C214" i="8"/>
  <c r="G214" i="8"/>
  <c r="F214" i="8" l="1"/>
  <c r="D215" i="8"/>
  <c r="B216" i="8"/>
  <c r="E215" i="8"/>
  <c r="C215" i="8"/>
  <c r="G215" i="8"/>
  <c r="F215" i="8" l="1"/>
  <c r="D216" i="8"/>
  <c r="B217" i="8"/>
  <c r="E216" i="8"/>
  <c r="C216" i="8"/>
  <c r="G216" i="8"/>
  <c r="F216" i="8" l="1"/>
  <c r="D217" i="8"/>
  <c r="B218" i="8"/>
  <c r="E217" i="8"/>
  <c r="C217" i="8"/>
  <c r="G217" i="8"/>
  <c r="F217" i="8" l="1"/>
  <c r="D218" i="8"/>
  <c r="B219" i="8"/>
  <c r="E218" i="8"/>
  <c r="C218" i="8"/>
  <c r="G218" i="8"/>
  <c r="F218" i="8" l="1"/>
  <c r="D219" i="8"/>
  <c r="B220" i="8"/>
  <c r="E219" i="8"/>
  <c r="C219" i="8"/>
  <c r="G219" i="8"/>
  <c r="F219" i="8" l="1"/>
  <c r="D220" i="8"/>
  <c r="B221" i="8"/>
  <c r="E220" i="8"/>
  <c r="G220" i="8"/>
  <c r="C220" i="8"/>
  <c r="F220" i="8" l="1"/>
  <c r="C221" i="8"/>
  <c r="G221" i="8"/>
  <c r="D221" i="8"/>
  <c r="B222" i="8"/>
  <c r="E221" i="8"/>
  <c r="F221" i="8" l="1"/>
  <c r="D222" i="8"/>
  <c r="B223" i="8"/>
  <c r="E222" i="8"/>
  <c r="C222" i="8"/>
  <c r="G222" i="8"/>
  <c r="F222" i="8" l="1"/>
  <c r="D223" i="8"/>
  <c r="C223" i="8"/>
  <c r="G223" i="8"/>
  <c r="B224" i="8"/>
  <c r="E223" i="8"/>
  <c r="F223" i="8" l="1"/>
  <c r="D224" i="8"/>
  <c r="B225" i="8"/>
  <c r="E224" i="8"/>
  <c r="C224" i="8"/>
  <c r="G224" i="8"/>
  <c r="F224" i="8" l="1"/>
  <c r="D225" i="8"/>
  <c r="B226" i="8"/>
  <c r="E225" i="8"/>
  <c r="C225" i="8"/>
  <c r="G225" i="8"/>
  <c r="F225" i="8" l="1"/>
  <c r="D226" i="8"/>
  <c r="B227" i="8"/>
  <c r="E226" i="8"/>
  <c r="C226" i="8"/>
  <c r="G226" i="8"/>
  <c r="F226" i="8" l="1"/>
  <c r="C227" i="8"/>
  <c r="G227" i="8"/>
  <c r="B228" i="8"/>
  <c r="E227" i="8"/>
  <c r="D227" i="8"/>
  <c r="F227" i="8" l="1"/>
  <c r="C228" i="8"/>
  <c r="G228" i="8"/>
  <c r="D228" i="8"/>
  <c r="E228" i="8"/>
  <c r="B229" i="8"/>
  <c r="F228" i="8" l="1"/>
  <c r="C229" i="8"/>
  <c r="G229" i="8"/>
  <c r="B230" i="8"/>
  <c r="E229" i="8"/>
  <c r="D229" i="8"/>
  <c r="F229" i="8" l="1"/>
  <c r="C230" i="8"/>
  <c r="G230" i="8"/>
  <c r="D230" i="8"/>
  <c r="E230" i="8"/>
  <c r="B231" i="8"/>
  <c r="F230" i="8" l="1"/>
  <c r="C231" i="8"/>
  <c r="G231" i="8"/>
  <c r="B232" i="8"/>
  <c r="E231" i="8"/>
  <c r="D231" i="8"/>
  <c r="F231" i="8" l="1"/>
  <c r="C232" i="8"/>
  <c r="G232" i="8"/>
  <c r="D232" i="8"/>
  <c r="E232" i="8"/>
  <c r="B233" i="8"/>
  <c r="F232" i="8" l="1"/>
  <c r="C233" i="8"/>
  <c r="G233" i="8"/>
  <c r="B234" i="8"/>
  <c r="D233" i="8"/>
  <c r="E233" i="8"/>
  <c r="F233" i="8" l="1"/>
  <c r="C234" i="8"/>
  <c r="G234" i="8"/>
  <c r="D234" i="8"/>
  <c r="E234" i="8"/>
  <c r="B235" i="8"/>
  <c r="F234" i="8" l="1"/>
  <c r="C235" i="8"/>
  <c r="G235" i="8"/>
  <c r="B236" i="8"/>
  <c r="E235" i="8"/>
  <c r="D235" i="8"/>
  <c r="F235" i="8" l="1"/>
  <c r="C236" i="8"/>
  <c r="G236" i="8"/>
  <c r="D236" i="8"/>
  <c r="E236" i="8"/>
  <c r="B237" i="8"/>
  <c r="F236" i="8" l="1"/>
  <c r="C237" i="8"/>
  <c r="G237" i="8"/>
  <c r="B238" i="8"/>
  <c r="E237" i="8"/>
  <c r="D237" i="8"/>
  <c r="F237" i="8" l="1"/>
  <c r="C238" i="8"/>
  <c r="G238" i="8"/>
  <c r="D238" i="8"/>
  <c r="E238" i="8"/>
  <c r="B239" i="8"/>
  <c r="F238" i="8" l="1"/>
  <c r="C239" i="8"/>
  <c r="G239" i="8"/>
  <c r="B240" i="8"/>
  <c r="E239" i="8"/>
  <c r="D239" i="8"/>
  <c r="F239" i="8" l="1"/>
  <c r="C240" i="8"/>
  <c r="G240" i="8"/>
  <c r="D240" i="8"/>
  <c r="E240" i="8"/>
  <c r="B241" i="8"/>
  <c r="F240" i="8" l="1"/>
  <c r="C241" i="8"/>
  <c r="G241" i="8"/>
  <c r="B242" i="8"/>
  <c r="E241" i="8"/>
  <c r="D241" i="8"/>
  <c r="F241" i="8" l="1"/>
  <c r="C242" i="8"/>
  <c r="G242" i="8"/>
  <c r="D242" i="8"/>
  <c r="E242" i="8"/>
  <c r="B243" i="8"/>
  <c r="F242" i="8" l="1"/>
  <c r="C243" i="8"/>
  <c r="G243" i="8"/>
  <c r="B244" i="8"/>
  <c r="E243" i="8"/>
  <c r="D243" i="8"/>
  <c r="F243" i="8" l="1"/>
  <c r="C244" i="8"/>
  <c r="E244" i="8"/>
  <c r="B245" i="8"/>
  <c r="G244" i="8"/>
  <c r="D244" i="8"/>
  <c r="F244" i="8" l="1"/>
  <c r="C245" i="8"/>
  <c r="G245" i="8"/>
  <c r="B246" i="8"/>
  <c r="E245" i="8"/>
  <c r="D245" i="8"/>
  <c r="F245" i="8" l="1"/>
  <c r="E246" i="8"/>
  <c r="B247" i="8"/>
  <c r="C246" i="8"/>
  <c r="G246" i="8"/>
  <c r="D246" i="8"/>
  <c r="F246" i="8" l="1"/>
  <c r="C247" i="8"/>
  <c r="G247" i="8"/>
  <c r="B248" i="8"/>
  <c r="E247" i="8"/>
  <c r="D247" i="8"/>
  <c r="F247" i="8" l="1"/>
  <c r="C248" i="8"/>
  <c r="G248" i="8"/>
  <c r="D248" i="8"/>
  <c r="E248" i="8"/>
  <c r="B249" i="8"/>
  <c r="F248" i="8" l="1"/>
  <c r="C249" i="8"/>
  <c r="G249" i="8"/>
  <c r="B250" i="8"/>
  <c r="E249" i="8"/>
  <c r="D249" i="8"/>
  <c r="F249" i="8" l="1"/>
  <c r="C250" i="8"/>
  <c r="G250" i="8"/>
  <c r="D250" i="8"/>
  <c r="E250" i="8"/>
  <c r="B251" i="8"/>
  <c r="F250" i="8" l="1"/>
  <c r="C251" i="8"/>
  <c r="G251" i="8"/>
  <c r="B252" i="8"/>
  <c r="E251" i="8"/>
  <c r="D251" i="8"/>
  <c r="F251" i="8" l="1"/>
  <c r="C252" i="8"/>
  <c r="G252" i="8"/>
  <c r="D252" i="8"/>
  <c r="E252" i="8"/>
  <c r="B253" i="8"/>
  <c r="F252" i="8" l="1"/>
  <c r="C253" i="8"/>
  <c r="G253" i="8"/>
  <c r="B254" i="8"/>
  <c r="E253" i="8"/>
  <c r="D253" i="8"/>
  <c r="F253" i="8" l="1"/>
  <c r="D254" i="8"/>
  <c r="E254" i="8"/>
  <c r="B255" i="8"/>
  <c r="G254" i="8"/>
  <c r="C254" i="8"/>
  <c r="F254" i="8" l="1"/>
  <c r="D255" i="8"/>
  <c r="B256" i="8"/>
  <c r="E255" i="8"/>
  <c r="C255" i="8"/>
  <c r="G255" i="8"/>
  <c r="F255" i="8" l="1"/>
  <c r="D256" i="8"/>
  <c r="B257" i="8"/>
  <c r="E256" i="8"/>
  <c r="C256" i="8"/>
  <c r="G256" i="8"/>
  <c r="F256" i="8" l="1"/>
  <c r="D257" i="8"/>
  <c r="B258" i="8"/>
  <c r="E257" i="8"/>
  <c r="C257" i="8"/>
  <c r="G257" i="8"/>
  <c r="F257" i="8" l="1"/>
  <c r="D258" i="8"/>
  <c r="B259" i="8"/>
  <c r="E258" i="8"/>
  <c r="C258" i="8"/>
  <c r="G258" i="8"/>
  <c r="F258" i="8" l="1"/>
  <c r="D259" i="8"/>
  <c r="B260" i="8"/>
  <c r="E259" i="8"/>
  <c r="G259" i="8"/>
  <c r="C259" i="8"/>
  <c r="F259" i="8" l="1"/>
  <c r="C260" i="8"/>
  <c r="G260" i="8"/>
  <c r="D260" i="8"/>
  <c r="B261" i="8"/>
  <c r="E260" i="8"/>
  <c r="F260" i="8" l="1"/>
  <c r="D261" i="8"/>
  <c r="B262" i="8"/>
  <c r="E261" i="8"/>
  <c r="C261" i="8"/>
  <c r="G261" i="8"/>
  <c r="F261" i="8" l="1"/>
  <c r="D262" i="8"/>
  <c r="B263" i="8"/>
  <c r="E262" i="8"/>
  <c r="C262" i="8"/>
  <c r="G262" i="8"/>
  <c r="F262" i="8" l="1"/>
  <c r="D263" i="8"/>
  <c r="B264" i="8"/>
  <c r="E263" i="8"/>
  <c r="C263" i="8"/>
  <c r="G263" i="8"/>
  <c r="F263" i="8" l="1"/>
  <c r="D264" i="8"/>
  <c r="B265" i="8"/>
  <c r="E264" i="8"/>
  <c r="C264" i="8"/>
  <c r="G264" i="8"/>
  <c r="F264" i="8" l="1"/>
  <c r="C265" i="8"/>
  <c r="G265" i="8"/>
  <c r="D265" i="8"/>
  <c r="B266" i="8"/>
  <c r="E265" i="8"/>
  <c r="F265" i="8" l="1"/>
  <c r="C266" i="8"/>
  <c r="G266" i="8"/>
  <c r="D266" i="8"/>
  <c r="B267" i="8"/>
  <c r="E266" i="8"/>
  <c r="F266" i="8" l="1"/>
  <c r="D267" i="8"/>
  <c r="B268" i="8"/>
  <c r="E267" i="8"/>
  <c r="C267" i="8"/>
  <c r="G267" i="8"/>
  <c r="F267" i="8" l="1"/>
  <c r="D268" i="8"/>
  <c r="B269" i="8"/>
  <c r="E268" i="8"/>
  <c r="C268" i="8"/>
  <c r="G268" i="8"/>
  <c r="F268" i="8" l="1"/>
  <c r="D269" i="8"/>
  <c r="B270" i="8"/>
  <c r="E269" i="8"/>
  <c r="C269" i="8"/>
  <c r="G269" i="8"/>
  <c r="F269" i="8" l="1"/>
  <c r="D270" i="8"/>
  <c r="B271" i="8"/>
  <c r="E270" i="8"/>
  <c r="C270" i="8"/>
  <c r="G270" i="8"/>
  <c r="F270" i="8" l="1"/>
  <c r="D271" i="8"/>
  <c r="B272" i="8"/>
  <c r="E271" i="8"/>
  <c r="G271" i="8"/>
  <c r="C271" i="8"/>
  <c r="F271" i="8" l="1"/>
  <c r="C272" i="8"/>
  <c r="G272" i="8"/>
  <c r="D272" i="8"/>
  <c r="B273" i="8"/>
  <c r="E272" i="8"/>
  <c r="F272" i="8" l="1"/>
  <c r="C273" i="8"/>
  <c r="G273" i="8"/>
  <c r="D273" i="8"/>
  <c r="B274" i="8"/>
  <c r="E273" i="8"/>
  <c r="F273" i="8" l="1"/>
  <c r="D274" i="8"/>
  <c r="B275" i="8"/>
  <c r="E274" i="8"/>
  <c r="C274" i="8"/>
  <c r="G274" i="8"/>
  <c r="F274" i="8" l="1"/>
  <c r="D275" i="8"/>
  <c r="B276" i="8"/>
  <c r="E275" i="8"/>
  <c r="C275" i="8"/>
  <c r="G275" i="8"/>
  <c r="F275" i="8" l="1"/>
  <c r="D276" i="8"/>
  <c r="B277" i="8"/>
  <c r="E276" i="8"/>
  <c r="C276" i="8"/>
  <c r="G276" i="8"/>
  <c r="F276" i="8" l="1"/>
  <c r="D277" i="8"/>
  <c r="B278" i="8"/>
  <c r="E277" i="8"/>
  <c r="C277" i="8"/>
  <c r="G277" i="8"/>
  <c r="F277" i="8" l="1"/>
  <c r="C278" i="8"/>
  <c r="G278" i="8"/>
  <c r="D278" i="8"/>
  <c r="B279" i="8"/>
  <c r="E278" i="8"/>
  <c r="F278" i="8" l="1"/>
  <c r="D279" i="8"/>
  <c r="B280" i="8"/>
  <c r="E279" i="8"/>
  <c r="C279" i="8"/>
  <c r="G279" i="8"/>
  <c r="F279" i="8" l="1"/>
  <c r="D280" i="8"/>
  <c r="B281" i="8"/>
  <c r="C280" i="8"/>
  <c r="G280" i="8"/>
  <c r="E280" i="8"/>
  <c r="F280" i="8" l="1"/>
  <c r="D281" i="8"/>
  <c r="B282" i="8"/>
  <c r="E281" i="8"/>
  <c r="C281" i="8"/>
  <c r="G281" i="8"/>
  <c r="F281" i="8" l="1"/>
  <c r="D282" i="8"/>
  <c r="B283" i="8"/>
  <c r="E282" i="8"/>
  <c r="C282" i="8"/>
  <c r="G282" i="8"/>
  <c r="F282" i="8" l="1"/>
  <c r="D283" i="8"/>
  <c r="B284" i="8"/>
  <c r="E283" i="8"/>
  <c r="C283" i="8"/>
  <c r="G283" i="8"/>
  <c r="F283" i="8" l="1"/>
  <c r="D284" i="8"/>
  <c r="B285" i="8"/>
  <c r="E284" i="8"/>
  <c r="C284" i="8"/>
  <c r="G284" i="8"/>
  <c r="F284" i="8" l="1"/>
  <c r="D285" i="8"/>
  <c r="B286" i="8"/>
  <c r="E285" i="8"/>
  <c r="C285" i="8"/>
  <c r="G285" i="8"/>
  <c r="F285" i="8" l="1"/>
  <c r="D286" i="8"/>
  <c r="B287" i="8"/>
  <c r="E286" i="8"/>
  <c r="C286" i="8"/>
  <c r="G286" i="8"/>
  <c r="F286" i="8" l="1"/>
  <c r="D287" i="8"/>
  <c r="B288" i="8"/>
  <c r="E287" i="8"/>
  <c r="G287" i="8"/>
  <c r="C287" i="8"/>
  <c r="F287" i="8" l="1"/>
  <c r="D288" i="8"/>
  <c r="B289" i="8"/>
  <c r="E288" i="8"/>
  <c r="C288" i="8"/>
  <c r="G288" i="8"/>
  <c r="F288" i="8" l="1"/>
  <c r="C289" i="8"/>
  <c r="G289" i="8"/>
  <c r="D289" i="8"/>
  <c r="B290" i="8"/>
  <c r="E289" i="8"/>
  <c r="F289" i="8" l="1"/>
  <c r="D290" i="8"/>
  <c r="B291" i="8"/>
  <c r="E290" i="8"/>
  <c r="C290" i="8"/>
  <c r="G290" i="8"/>
  <c r="F290" i="8" l="1"/>
  <c r="D291" i="8"/>
  <c r="B292" i="8"/>
  <c r="E291" i="8"/>
  <c r="C291" i="8"/>
  <c r="G291" i="8"/>
  <c r="F291" i="8" l="1"/>
  <c r="C292" i="8"/>
  <c r="G292" i="8"/>
  <c r="D292" i="8"/>
  <c r="B293" i="8"/>
  <c r="E292" i="8"/>
  <c r="F292" i="8" l="1"/>
  <c r="D293" i="8"/>
  <c r="B294" i="8"/>
  <c r="E293" i="8"/>
  <c r="C293" i="8"/>
  <c r="G293" i="8"/>
  <c r="F293" i="8" l="1"/>
  <c r="D294" i="8"/>
  <c r="B295" i="8"/>
  <c r="E294" i="8"/>
  <c r="C294" i="8"/>
  <c r="G294" i="8"/>
  <c r="F294" i="8" l="1"/>
  <c r="D295" i="8"/>
  <c r="B296" i="8"/>
  <c r="E295" i="8"/>
  <c r="C295" i="8"/>
  <c r="G295" i="8"/>
  <c r="F295" i="8" l="1"/>
  <c r="D296" i="8"/>
  <c r="B297" i="8"/>
  <c r="E296" i="8"/>
  <c r="C296" i="8"/>
  <c r="G296" i="8"/>
  <c r="F296" i="8" l="1"/>
  <c r="D297" i="8"/>
  <c r="B298" i="8"/>
  <c r="E297" i="8"/>
  <c r="C297" i="8"/>
  <c r="G297" i="8"/>
  <c r="F297" i="8" l="1"/>
  <c r="D298" i="8"/>
  <c r="B299" i="8"/>
  <c r="E298" i="8"/>
  <c r="C298" i="8"/>
  <c r="G298" i="8"/>
  <c r="F298" i="8" l="1"/>
  <c r="D299" i="8"/>
  <c r="B300" i="8"/>
  <c r="E299" i="8"/>
  <c r="C299" i="8"/>
  <c r="G299" i="8"/>
  <c r="F299" i="8" l="1"/>
  <c r="D300" i="8"/>
  <c r="B301" i="8"/>
  <c r="E300" i="8"/>
  <c r="C300" i="8"/>
  <c r="G300" i="8"/>
  <c r="F300" i="8" l="1"/>
  <c r="D301" i="8"/>
  <c r="B302" i="8"/>
  <c r="E301" i="8"/>
  <c r="C301" i="8"/>
  <c r="G301" i="8"/>
  <c r="F301" i="8" l="1"/>
  <c r="D302" i="8"/>
  <c r="B303" i="8"/>
  <c r="E302" i="8"/>
  <c r="C302" i="8"/>
  <c r="G302" i="8"/>
  <c r="F302" i="8" l="1"/>
  <c r="D303" i="8"/>
  <c r="B304" i="8"/>
  <c r="E303" i="8"/>
  <c r="C303" i="8"/>
  <c r="G303" i="8"/>
  <c r="F303" i="8" l="1"/>
  <c r="D304" i="8"/>
  <c r="B305" i="8"/>
  <c r="E304" i="8"/>
  <c r="C304" i="8"/>
  <c r="G304" i="8"/>
  <c r="F304" i="8" l="1"/>
  <c r="D305" i="8"/>
  <c r="B306" i="8"/>
  <c r="E305" i="8"/>
  <c r="C305" i="8"/>
  <c r="G305" i="8"/>
  <c r="F305" i="8" l="1"/>
  <c r="D306" i="8"/>
  <c r="B307" i="8"/>
  <c r="E306" i="8"/>
  <c r="C306" i="8"/>
  <c r="G306" i="8"/>
  <c r="F306" i="8" l="1"/>
  <c r="D307" i="8"/>
  <c r="B308" i="8"/>
  <c r="E307" i="8"/>
  <c r="C307" i="8"/>
  <c r="G307" i="8"/>
  <c r="F307" i="8" l="1"/>
  <c r="D308" i="8"/>
  <c r="B309" i="8"/>
  <c r="E308" i="8"/>
  <c r="C308" i="8"/>
  <c r="G308" i="8"/>
  <c r="F308" i="8" l="1"/>
  <c r="D309" i="8"/>
  <c r="B310" i="8"/>
  <c r="E309" i="8"/>
  <c r="C309" i="8"/>
  <c r="G309" i="8"/>
  <c r="F309" i="8" l="1"/>
  <c r="D310" i="8"/>
  <c r="B311" i="8"/>
  <c r="E310" i="8"/>
  <c r="C310" i="8"/>
  <c r="G310" i="8"/>
  <c r="F310" i="8" l="1"/>
  <c r="C311" i="8"/>
  <c r="G311" i="8"/>
  <c r="D311" i="8"/>
  <c r="B312" i="8"/>
  <c r="E311" i="8"/>
  <c r="F311" i="8" l="1"/>
  <c r="D312" i="8"/>
  <c r="B313" i="8"/>
  <c r="E312" i="8"/>
  <c r="C312" i="8"/>
  <c r="G312" i="8"/>
  <c r="F312" i="8" l="1"/>
  <c r="D313" i="8"/>
  <c r="B314" i="8"/>
  <c r="C313" i="8"/>
  <c r="G313" i="8"/>
  <c r="E313" i="8"/>
  <c r="F313" i="8" l="1"/>
  <c r="D314" i="8"/>
  <c r="B315" i="8"/>
  <c r="E314" i="8"/>
  <c r="C314" i="8"/>
  <c r="G314" i="8"/>
  <c r="F314" i="8" l="1"/>
  <c r="C315" i="8"/>
  <c r="G315" i="8"/>
  <c r="D315" i="8"/>
  <c r="B316" i="8"/>
  <c r="E315" i="8"/>
  <c r="F315" i="8" l="1"/>
  <c r="C316" i="8"/>
  <c r="G316" i="8"/>
  <c r="D316" i="8"/>
  <c r="B317" i="8"/>
  <c r="E316" i="8"/>
  <c r="F316" i="8" l="1"/>
  <c r="D317" i="8"/>
  <c r="B318" i="8"/>
  <c r="E317" i="8"/>
  <c r="C317" i="8"/>
  <c r="G317" i="8"/>
  <c r="F317" i="8" l="1"/>
  <c r="E318" i="8"/>
  <c r="C318" i="8"/>
  <c r="G318" i="8"/>
  <c r="D318" i="8"/>
  <c r="B319" i="8"/>
  <c r="F318" i="8" l="1"/>
  <c r="D319" i="8"/>
  <c r="B320" i="8"/>
  <c r="E319" i="8"/>
  <c r="C319" i="8"/>
  <c r="G319" i="8"/>
  <c r="F319" i="8" l="1"/>
  <c r="D320" i="8"/>
  <c r="B321" i="8"/>
  <c r="E320" i="8"/>
  <c r="C320" i="8"/>
  <c r="G320" i="8"/>
  <c r="F320" i="8" l="1"/>
  <c r="D321" i="8"/>
  <c r="B322" i="8"/>
  <c r="E321" i="8"/>
  <c r="C321" i="8"/>
  <c r="G321" i="8"/>
  <c r="F321" i="8" l="1"/>
  <c r="B323" i="8"/>
  <c r="C322" i="8"/>
  <c r="G322" i="8"/>
  <c r="D322" i="8"/>
  <c r="E322" i="8"/>
  <c r="F322" i="8" l="1"/>
  <c r="D323" i="8"/>
  <c r="B324" i="8"/>
  <c r="E323" i="8"/>
  <c r="C323" i="8"/>
  <c r="G323" i="8"/>
  <c r="F323" i="8" l="1"/>
  <c r="D324" i="8"/>
  <c r="B325" i="8"/>
  <c r="E324" i="8"/>
  <c r="C324" i="8"/>
  <c r="G324" i="8"/>
  <c r="F324" i="8" l="1"/>
  <c r="C325" i="8"/>
  <c r="G325" i="8"/>
  <c r="D325" i="8"/>
  <c r="B326" i="8"/>
  <c r="E325" i="8"/>
  <c r="F325" i="8" l="1"/>
  <c r="C326" i="8"/>
  <c r="G326" i="8"/>
  <c r="D326" i="8"/>
  <c r="B327" i="8"/>
  <c r="E326" i="8"/>
  <c r="F326" i="8" l="1"/>
  <c r="D327" i="8"/>
  <c r="B328" i="8"/>
  <c r="E327" i="8"/>
  <c r="C327" i="8"/>
  <c r="G327" i="8"/>
  <c r="F327" i="8" l="1"/>
  <c r="D328" i="8"/>
  <c r="B329" i="8"/>
  <c r="C328" i="8"/>
  <c r="G328" i="8"/>
  <c r="E328" i="8"/>
  <c r="F328" i="8" l="1"/>
  <c r="D329" i="8"/>
  <c r="B330" i="8"/>
  <c r="E329" i="8"/>
  <c r="C329" i="8"/>
  <c r="G329" i="8"/>
  <c r="F329" i="8" l="1"/>
  <c r="D330" i="8"/>
  <c r="B331" i="8"/>
  <c r="E330" i="8"/>
  <c r="C330" i="8"/>
  <c r="G330" i="8"/>
  <c r="F330" i="8" l="1"/>
  <c r="C331" i="8"/>
  <c r="G331" i="8"/>
  <c r="D331" i="8"/>
  <c r="B332" i="8"/>
  <c r="E331" i="8"/>
  <c r="F331" i="8" l="1"/>
  <c r="D332" i="8"/>
  <c r="B333" i="8"/>
  <c r="E332" i="8"/>
  <c r="C332" i="8"/>
  <c r="G332" i="8"/>
  <c r="F332" i="8" l="1"/>
  <c r="D333" i="8"/>
  <c r="B334" i="8"/>
  <c r="E333" i="8"/>
  <c r="C333" i="8"/>
  <c r="G333" i="8"/>
  <c r="F333" i="8" l="1"/>
  <c r="C334" i="8"/>
  <c r="G334" i="8"/>
  <c r="D334" i="8"/>
  <c r="B335" i="8"/>
  <c r="E334" i="8"/>
  <c r="F334" i="8" l="1"/>
  <c r="D335" i="8"/>
  <c r="B336" i="8"/>
  <c r="E335" i="8"/>
  <c r="C335" i="8"/>
  <c r="G335" i="8"/>
  <c r="F335" i="8" l="1"/>
  <c r="D336" i="8"/>
  <c r="B337" i="8"/>
  <c r="C336" i="8"/>
  <c r="G336" i="8"/>
  <c r="E336" i="8"/>
  <c r="F336" i="8" l="1"/>
  <c r="D337" i="8"/>
  <c r="B338" i="8"/>
  <c r="E337" i="8"/>
  <c r="C337" i="8"/>
  <c r="G337" i="8"/>
  <c r="F337" i="8" l="1"/>
  <c r="C338" i="8"/>
  <c r="G338" i="8"/>
  <c r="D338" i="8"/>
  <c r="B339" i="8"/>
  <c r="E338" i="8"/>
  <c r="F338" i="8" l="1"/>
  <c r="C339" i="8"/>
  <c r="G339" i="8"/>
  <c r="D339" i="8"/>
  <c r="B340" i="8"/>
  <c r="E339" i="8"/>
  <c r="F339" i="8" l="1"/>
  <c r="D340" i="8"/>
  <c r="B341" i="8"/>
  <c r="E340" i="8"/>
  <c r="C340" i="8"/>
  <c r="G340" i="8"/>
  <c r="F340" i="8" l="1"/>
  <c r="D341" i="8"/>
  <c r="B342" i="8"/>
  <c r="E341" i="8"/>
  <c r="C341" i="8"/>
  <c r="G341" i="8"/>
  <c r="F341" i="8" l="1"/>
  <c r="D342" i="8"/>
  <c r="B343" i="8"/>
  <c r="E342" i="8"/>
  <c r="C342" i="8"/>
  <c r="G342" i="8"/>
  <c r="F342" i="8" l="1"/>
  <c r="D343" i="8"/>
  <c r="B344" i="8"/>
  <c r="E343" i="8"/>
  <c r="C343" i="8"/>
  <c r="G343" i="8"/>
  <c r="F343" i="8" l="1"/>
  <c r="D344" i="8"/>
  <c r="B345" i="8"/>
  <c r="E344" i="8"/>
  <c r="C344" i="8"/>
  <c r="G344" i="8"/>
  <c r="F344" i="8" l="1"/>
  <c r="D345" i="8"/>
  <c r="B346" i="8"/>
  <c r="E345" i="8"/>
  <c r="G345" i="8"/>
  <c r="C345" i="8"/>
  <c r="F345" i="8" l="1"/>
  <c r="D346" i="8"/>
  <c r="B347" i="8"/>
  <c r="E346" i="8"/>
  <c r="C346" i="8"/>
  <c r="G346" i="8"/>
  <c r="F346" i="8" l="1"/>
  <c r="C347" i="8"/>
  <c r="G347" i="8"/>
  <c r="D347" i="8"/>
  <c r="B348" i="8"/>
  <c r="E347" i="8"/>
  <c r="F347" i="8" l="1"/>
  <c r="C348" i="8"/>
  <c r="G348" i="8"/>
  <c r="D348" i="8"/>
  <c r="B349" i="8"/>
  <c r="E348" i="8"/>
  <c r="F348" i="8" l="1"/>
  <c r="D349" i="8"/>
  <c r="B350" i="8"/>
  <c r="E349" i="8"/>
  <c r="C349" i="8"/>
  <c r="G349" i="8"/>
  <c r="F349" i="8" l="1"/>
  <c r="D350" i="8"/>
  <c r="B351" i="8"/>
  <c r="C350" i="8"/>
  <c r="G350" i="8"/>
  <c r="E350" i="8"/>
  <c r="F350" i="8" l="1"/>
  <c r="D351" i="8"/>
  <c r="B352" i="8"/>
  <c r="E351" i="8"/>
  <c r="C351" i="8"/>
  <c r="G351" i="8"/>
  <c r="F351" i="8" l="1"/>
  <c r="D352" i="8"/>
  <c r="B353" i="8"/>
  <c r="E352" i="8"/>
  <c r="C352" i="8"/>
  <c r="G352" i="8"/>
  <c r="F352" i="8" l="1"/>
  <c r="C353" i="8"/>
  <c r="G353" i="8"/>
  <c r="D353" i="8"/>
  <c r="B354" i="8"/>
  <c r="E353" i="8"/>
  <c r="F353" i="8" l="1"/>
  <c r="D354" i="8"/>
  <c r="E354" i="8"/>
  <c r="C354" i="8"/>
  <c r="G354" i="8"/>
  <c r="B355" i="8"/>
  <c r="F354" i="8" l="1"/>
  <c r="C355" i="8"/>
  <c r="G355" i="8"/>
  <c r="B356" i="8"/>
  <c r="E355" i="8"/>
  <c r="D355" i="8"/>
  <c r="F355" i="8" l="1"/>
  <c r="C356" i="8"/>
  <c r="G356" i="8"/>
  <c r="D356" i="8"/>
  <c r="E356" i="8"/>
  <c r="B357" i="8"/>
  <c r="F356" i="8" l="1"/>
  <c r="B358" i="8"/>
  <c r="C357" i="8"/>
  <c r="G357" i="8"/>
  <c r="D357" i="8"/>
  <c r="E357" i="8"/>
  <c r="F357" i="8" l="1"/>
  <c r="C358" i="8"/>
  <c r="D358" i="8"/>
  <c r="B359" i="8"/>
  <c r="E358" i="8"/>
  <c r="G358" i="8"/>
  <c r="F358" i="8" l="1"/>
  <c r="C359" i="8"/>
  <c r="D359" i="8"/>
  <c r="B360" i="8"/>
  <c r="E359" i="8"/>
  <c r="G359" i="8"/>
  <c r="F359" i="8" l="1"/>
  <c r="C360" i="8"/>
  <c r="D360" i="8"/>
  <c r="B361" i="8"/>
  <c r="E360" i="8"/>
  <c r="G360" i="8"/>
  <c r="F360" i="8" l="1"/>
  <c r="C361" i="8"/>
  <c r="D361" i="8"/>
  <c r="B362" i="8"/>
  <c r="E361" i="8"/>
  <c r="G361" i="8"/>
  <c r="F361" i="8" l="1"/>
  <c r="C362" i="8"/>
  <c r="D362" i="8"/>
  <c r="B363" i="8"/>
  <c r="E362" i="8"/>
  <c r="G362" i="8"/>
  <c r="F362" i="8" l="1"/>
  <c r="C363" i="8"/>
  <c r="B364" i="8"/>
  <c r="D363" i="8"/>
  <c r="E363" i="8"/>
  <c r="G363" i="8"/>
  <c r="F363" i="8" l="1"/>
  <c r="C364" i="8"/>
  <c r="D364" i="8"/>
  <c r="B365" i="8"/>
  <c r="E364" i="8"/>
  <c r="G364" i="8"/>
  <c r="F364" i="8" l="1"/>
  <c r="D365" i="8"/>
  <c r="B366" i="8"/>
  <c r="G365" i="8"/>
  <c r="C365" i="8"/>
  <c r="E365" i="8"/>
  <c r="F365" i="8" l="1"/>
  <c r="D366" i="8"/>
  <c r="E366" i="8"/>
  <c r="G366" i="8"/>
  <c r="C366" i="8"/>
  <c r="B367" i="8"/>
  <c r="F366" i="8" l="1"/>
  <c r="D367" i="8"/>
  <c r="C367" i="8"/>
  <c r="G367" i="8"/>
  <c r="E367" i="8"/>
  <c r="B368" i="8"/>
  <c r="B369" i="8" s="1"/>
  <c r="F367" i="8" l="1"/>
  <c r="D368" i="8"/>
  <c r="E368" i="8"/>
  <c r="C368" i="8"/>
  <c r="C369" i="8" s="1"/>
  <c r="G368" i="8"/>
  <c r="G369" i="8" l="1"/>
  <c r="E7" i="21" s="1"/>
  <c r="D369" i="8"/>
  <c r="E369" i="8"/>
  <c r="F368" i="8"/>
  <c r="F17" i="21" l="1"/>
  <c r="F17" i="19"/>
  <c r="E17" i="19"/>
  <c r="J15" i="19"/>
  <c r="K15" i="19"/>
  <c r="I15" i="19"/>
  <c r="E7" i="19"/>
  <c r="G7" i="19"/>
  <c r="H9" i="19"/>
  <c r="I11" i="19"/>
  <c r="J13" i="19"/>
  <c r="G9" i="19"/>
  <c r="H11" i="19"/>
  <c r="I13" i="19"/>
  <c r="E13" i="19"/>
  <c r="K7" i="19"/>
  <c r="H7" i="19"/>
  <c r="F9" i="19"/>
  <c r="G11" i="19"/>
  <c r="H13" i="19"/>
  <c r="I9" i="19"/>
  <c r="J11" i="19"/>
  <c r="K13" i="19"/>
  <c r="H15" i="19"/>
  <c r="E11" i="19"/>
  <c r="F13" i="19"/>
  <c r="G15" i="19"/>
  <c r="J7" i="19"/>
  <c r="K9" i="19"/>
  <c r="F15" i="19"/>
  <c r="F7" i="19"/>
  <c r="I7" i="19"/>
  <c r="J9" i="19"/>
  <c r="K11" i="19"/>
  <c r="E15" i="19"/>
  <c r="E9" i="19"/>
  <c r="F11" i="19"/>
  <c r="G13" i="19"/>
  <c r="H370" i="8"/>
  <c r="F369" i="8"/>
  <c r="H371" i="8"/>
</calcChain>
</file>

<file path=xl/sharedStrings.xml><?xml version="1.0" encoding="utf-8"?>
<sst xmlns="http://schemas.openxmlformats.org/spreadsheetml/2006/main" count="38" uniqueCount="22">
  <si>
    <t>Date</t>
  </si>
  <si>
    <t>Day</t>
  </si>
  <si>
    <t>Month</t>
  </si>
  <si>
    <t>Weekday</t>
  </si>
  <si>
    <t>Week Num</t>
  </si>
  <si>
    <t>Day Num</t>
  </si>
  <si>
    <t>Mon</t>
  </si>
  <si>
    <t>Tue</t>
  </si>
  <si>
    <t>Wed</t>
  </si>
  <si>
    <t>Thu</t>
  </si>
  <si>
    <t>Fri</t>
  </si>
  <si>
    <t>Sat</t>
  </si>
  <si>
    <t>Sun</t>
  </si>
  <si>
    <t>Data</t>
  </si>
  <si>
    <t>Max</t>
  </si>
  <si>
    <t>Min</t>
  </si>
  <si>
    <t>Row Labels</t>
  </si>
  <si>
    <t>Grand Total</t>
  </si>
  <si>
    <t>Column Labels</t>
  </si>
  <si>
    <t>Sum of Day Num</t>
  </si>
  <si>
    <t/>
  </si>
  <si>
    <t>Nov</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</si>
</sst>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mm\ dd\,\ yyyy"/>
  </numFmts>
  <fonts count="20" x14ac:knownFonts="1">
    <font>
      <sz val="11"/>
      <color theme="1"/>
      <name val="Calibri"/>
      <family val="2"/>
      <scheme val="minor"/>
    </font>
    <font>
      <sz val="10"/>
      <color theme="1"/>
      <name val="Calibri"/>
      <family val="2"/>
      <scheme val="minor"/>
    </font>
    <font>
      <sz val="22"/>
      <color theme="1"/>
      <name val="! PEPSI !"/>
    </font>
    <font>
      <b/>
      <sz val="10"/>
      <color theme="1"/>
      <name val="Calibri"/>
      <family val="2"/>
      <scheme val="minor"/>
    </font>
    <font>
      <sz val="11"/>
      <color theme="0"/>
      <name val="Calibri"/>
      <family val="2"/>
      <scheme val="minor"/>
    </font>
    <font>
      <sz val="12"/>
      <color theme="1"/>
      <name val="Calibri"/>
      <family val="2"/>
      <scheme val="minor"/>
    </font>
    <font>
      <sz val="36"/>
      <color theme="2"/>
      <name val="Arial Black"/>
      <family val="2"/>
    </font>
    <font>
      <b/>
      <sz val="36"/>
      <color theme="2" tint="-0.249977111117893"/>
      <name val="Andralis ND SC"/>
      <family val="3"/>
    </font>
    <font>
      <b/>
      <sz val="11"/>
      <color theme="0"/>
      <name val="Cambria"/>
      <family val="1"/>
      <scheme val="major"/>
    </font>
    <font>
      <sz val="12"/>
      <color theme="4" tint="0.79998168889431442"/>
      <name val="Calibri"/>
      <family val="2"/>
      <scheme val="minor"/>
    </font>
    <font>
      <b/>
      <sz val="12"/>
      <color theme="0"/>
      <name val="Calibri"/>
      <family val="2"/>
      <scheme val="minor"/>
    </font>
    <font>
      <sz val="8"/>
      <color theme="0"/>
      <name val="Calibri"/>
      <family val="2"/>
      <scheme val="minor"/>
    </font>
    <font>
      <b/>
      <sz val="1"/>
      <color theme="3" tint="-0.249977111117893"/>
      <name val="Anywhere"/>
    </font>
    <font>
      <sz val="1"/>
      <color theme="0"/>
      <name val="Anywhere"/>
    </font>
    <font>
      <sz val="1"/>
      <color theme="3" tint="-0.249977111117893"/>
      <name val="Anywhere"/>
    </font>
    <font>
      <b/>
      <sz val="10"/>
      <color theme="3" tint="-0.249977111117893"/>
      <name val="BlankSerif"/>
    </font>
    <font>
      <sz val="10"/>
      <color theme="0"/>
      <name val="BlankSerif"/>
    </font>
    <font>
      <sz val="10"/>
      <color theme="3" tint="-0.249977111117893"/>
      <name val="BlankSerif"/>
    </font>
    <font>
      <sz val="8"/>
      <name val="Calibri"/>
      <family val="2"/>
      <scheme val="minor"/>
    </font>
    <font>
      <sz val="11"/>
      <name val="Calibri"/>
      <family val="2"/>
      <scheme val="minor"/>
    </font>
  </fonts>
  <fills count="5">
    <fill>
      <patternFill patternType="none"/>
    </fill>
    <fill>
      <patternFill patternType="gray125"/>
    </fill>
    <fill>
      <patternFill patternType="solid">
        <fgColor theme="2" tint="-0.89999084444715716"/>
        <bgColor indexed="64"/>
      </patternFill>
    </fill>
    <fill>
      <patternFill patternType="solid">
        <fgColor theme="3" tint="-0.499984740745262"/>
        <bgColor indexed="64"/>
      </patternFill>
    </fill>
    <fill>
      <patternFill patternType="solid">
        <fgColor theme="4" tint="-0.499984740745262"/>
        <bgColor indexed="64"/>
      </patternFill>
    </fill>
  </fills>
  <borders count="12">
    <border>
      <left/>
      <right/>
      <top/>
      <bottom/>
      <diagonal/>
    </border>
    <border>
      <left/>
      <right/>
      <top/>
      <bottom style="thin">
        <color indexed="64"/>
      </bottom>
      <diagonal/>
    </border>
    <border>
      <left/>
      <right/>
      <top/>
      <bottom style="thin">
        <color theme="4" tint="0.79998168889431442"/>
      </bottom>
      <diagonal/>
    </border>
    <border>
      <left style="medium">
        <color theme="4" tint="0.79998168889431442"/>
      </left>
      <right/>
      <top style="medium">
        <color theme="4" tint="0.79998168889431442"/>
      </top>
      <bottom style="medium">
        <color theme="4" tint="0.79998168889431442"/>
      </bottom>
      <diagonal/>
    </border>
    <border>
      <left/>
      <right/>
      <top style="medium">
        <color theme="4" tint="0.79998168889431442"/>
      </top>
      <bottom style="medium">
        <color theme="4" tint="0.79998168889431442"/>
      </bottom>
      <diagonal/>
    </border>
    <border>
      <left/>
      <right style="medium">
        <color theme="4" tint="0.79998168889431442"/>
      </right>
      <top style="medium">
        <color theme="4" tint="0.79998168889431442"/>
      </top>
      <bottom style="medium">
        <color theme="4" tint="0.79998168889431442"/>
      </bottom>
      <diagonal/>
    </border>
    <border>
      <left style="thin">
        <color theme="4" tint="0.79998168889431442"/>
      </left>
      <right style="thin">
        <color theme="4" tint="0.79998168889431442"/>
      </right>
      <top style="thin">
        <color theme="4" tint="0.79998168889431442"/>
      </top>
      <bottom/>
      <diagonal/>
    </border>
    <border>
      <left style="thin">
        <color theme="4" tint="0.79998168889431442"/>
      </left>
      <right style="thin">
        <color theme="4" tint="0.79998168889431442"/>
      </right>
      <top/>
      <bottom style="thin">
        <color theme="4" tint="0.79998168889431442"/>
      </bottom>
      <diagonal/>
    </border>
    <border>
      <left style="thin">
        <color theme="4" tint="0.79998168889431442"/>
      </left>
      <right style="thin">
        <color theme="4" tint="0.79998168889431442"/>
      </right>
      <top/>
      <bottom/>
      <diagonal/>
    </border>
    <border>
      <left style="medium">
        <color theme="4" tint="0.79998168889431442"/>
      </left>
      <right style="thin">
        <color theme="0" tint="-0.34998626667073579"/>
      </right>
      <top style="medium">
        <color theme="4" tint="0.79998168889431442"/>
      </top>
      <bottom style="medium">
        <color theme="4" tint="0.79998168889431442"/>
      </bottom>
      <diagonal/>
    </border>
    <border>
      <left style="thin">
        <color theme="0" tint="-0.34998626667073579"/>
      </left>
      <right style="thin">
        <color theme="0" tint="-0.34998626667073579"/>
      </right>
      <top style="medium">
        <color theme="4" tint="0.79998168889431442"/>
      </top>
      <bottom style="medium">
        <color theme="4" tint="0.79998168889431442"/>
      </bottom>
      <diagonal/>
    </border>
    <border>
      <left style="thin">
        <color theme="0" tint="-0.34998626667073579"/>
      </left>
      <right style="medium">
        <color theme="4" tint="0.79998168889431442"/>
      </right>
      <top style="medium">
        <color theme="4" tint="0.79998168889431442"/>
      </top>
      <bottom style="medium">
        <color theme="4" tint="0.79998168889431442"/>
      </bottom>
      <diagonal/>
    </border>
  </borders>
  <cellStyleXfs count="1">
    <xf numFmtId="0" fontId="0" fillId="0" borderId="0"/>
  </cellStyleXfs>
  <cellXfs count="51">
    <xf numFmtId="0" fontId="0" fillId="0" borderId="0" xfId="0"/>
    <xf numFmtId="0" fontId="1" fillId="0" borderId="0" xfId="0" applyFont="1"/>
    <xf numFmtId="0" fontId="1" fillId="0" borderId="0" xfId="0" applyFont="1" applyAlignment="1">
      <alignment horizontal="center"/>
    </xf>
    <xf numFmtId="0" fontId="0" fillId="0" borderId="0" xfId="0" applyAlignment="1">
      <alignment horizontal="left"/>
    </xf>
    <xf numFmtId="164" fontId="1" fillId="0" borderId="1" xfId="0" applyNumberFormat="1" applyFont="1" applyBorder="1" applyAlignment="1">
      <alignment horizontal="center"/>
    </xf>
    <xf numFmtId="0" fontId="1" fillId="0" borderId="1" xfId="0" applyFont="1" applyBorder="1" applyAlignment="1">
      <alignment horizontal="center"/>
    </xf>
    <xf numFmtId="164" fontId="1" fillId="0" borderId="0" xfId="0" applyNumberFormat="1" applyFont="1" applyBorder="1" applyAlignment="1">
      <alignment horizontal="center"/>
    </xf>
    <xf numFmtId="0" fontId="1" fillId="0" borderId="0" xfId="0" applyFont="1" applyBorder="1" applyAlignment="1">
      <alignment horizontal="center"/>
    </xf>
    <xf numFmtId="164" fontId="3" fillId="0" borderId="1" xfId="0" applyNumberFormat="1" applyFont="1" applyBorder="1" applyAlignment="1">
      <alignment horizontal="center"/>
    </xf>
    <xf numFmtId="0" fontId="3" fillId="0" borderId="1" xfId="0" applyFont="1" applyBorder="1" applyAlignment="1">
      <alignment horizontal="center"/>
    </xf>
    <xf numFmtId="0" fontId="0" fillId="0" borderId="0" xfId="0" pivotButton="1"/>
    <xf numFmtId="0" fontId="0" fillId="0" borderId="0" xfId="0" applyNumberFormat="1"/>
    <xf numFmtId="0" fontId="0" fillId="2" borderId="0" xfId="0" applyFill="1"/>
    <xf numFmtId="0" fontId="4" fillId="0" borderId="0" xfId="0" applyFont="1"/>
    <xf numFmtId="0" fontId="0" fillId="0" borderId="2" xfId="0" applyBorder="1"/>
    <xf numFmtId="0" fontId="6" fillId="2" borderId="3" xfId="0" applyFont="1" applyFill="1" applyBorder="1" applyAlignment="1">
      <alignment horizontal="center" vertical="center"/>
    </xf>
    <xf numFmtId="0" fontId="6" fillId="2" borderId="4" xfId="0" applyFont="1" applyFill="1" applyBorder="1" applyAlignment="1">
      <alignment horizontal="center" vertical="center"/>
    </xf>
    <xf numFmtId="0" fontId="7" fillId="2" borderId="4" xfId="0" applyFont="1" applyFill="1" applyBorder="1" applyAlignment="1">
      <alignment horizontal="center" vertical="center"/>
    </xf>
    <xf numFmtId="0" fontId="7" fillId="2" borderId="5" xfId="0" applyFont="1" applyFill="1" applyBorder="1" applyAlignment="1">
      <alignment horizontal="center" vertical="center"/>
    </xf>
    <xf numFmtId="0" fontId="5" fillId="0" borderId="0" xfId="0" applyFont="1" applyBorder="1" applyAlignment="1">
      <alignment horizontal="center" vertical="center"/>
    </xf>
    <xf numFmtId="0" fontId="5" fillId="0" borderId="6" xfId="0" applyFont="1" applyBorder="1" applyAlignment="1">
      <alignment horizontal="center" vertical="center"/>
    </xf>
    <xf numFmtId="0" fontId="5" fillId="0" borderId="8" xfId="0" applyFont="1" applyBorder="1" applyAlignment="1">
      <alignment horizontal="center" vertical="center"/>
    </xf>
    <xf numFmtId="0" fontId="9" fillId="4" borderId="8" xfId="0" applyFont="1" applyFill="1" applyBorder="1" applyAlignment="1">
      <alignment horizontal="center" vertical="center"/>
    </xf>
    <xf numFmtId="0" fontId="9" fillId="4" borderId="6" xfId="0" applyFont="1" applyFill="1" applyBorder="1" applyAlignment="1">
      <alignment horizontal="center" vertical="center"/>
    </xf>
    <xf numFmtId="0" fontId="8" fillId="3" borderId="9" xfId="0" applyFont="1" applyFill="1" applyBorder="1" applyAlignment="1">
      <alignment horizontal="center" vertical="center"/>
    </xf>
    <xf numFmtId="0" fontId="8" fillId="3" borderId="10" xfId="0" applyFont="1" applyFill="1" applyBorder="1" applyAlignment="1">
      <alignment horizontal="center" vertical="center"/>
    </xf>
    <xf numFmtId="0" fontId="8" fillId="3" borderId="11" xfId="0" applyFont="1" applyFill="1" applyBorder="1" applyAlignment="1">
      <alignment horizontal="center" vertical="center"/>
    </xf>
    <xf numFmtId="14" fontId="0" fillId="0" borderId="0" xfId="0" applyNumberFormat="1"/>
    <xf numFmtId="0" fontId="10" fillId="4" borderId="8" xfId="0" applyFont="1" applyFill="1" applyBorder="1" applyAlignment="1">
      <alignment horizontal="center" vertical="center"/>
    </xf>
    <xf numFmtId="0" fontId="10" fillId="4" borderId="6" xfId="0" applyFont="1" applyFill="1" applyBorder="1" applyAlignment="1">
      <alignment horizontal="center" vertical="center"/>
    </xf>
    <xf numFmtId="0" fontId="11" fillId="0" borderId="0" xfId="0" applyFont="1"/>
    <xf numFmtId="0" fontId="4" fillId="2" borderId="0" xfId="0" applyFont="1" applyFill="1"/>
    <xf numFmtId="0" fontId="0" fillId="0" borderId="0" xfId="0" applyBorder="1"/>
    <xf numFmtId="1" fontId="0" fillId="0" borderId="0" xfId="0" applyNumberFormat="1"/>
    <xf numFmtId="0" fontId="12" fillId="4" borderId="7" xfId="0" applyFont="1" applyFill="1" applyBorder="1" applyAlignment="1">
      <alignment horizontal="right"/>
    </xf>
    <xf numFmtId="0" fontId="13" fillId="0" borderId="7" xfId="0" applyFont="1" applyBorder="1" applyAlignment="1">
      <alignment horizontal="right"/>
    </xf>
    <xf numFmtId="0" fontId="14" fillId="4" borderId="7" xfId="0" applyFont="1" applyFill="1" applyBorder="1" applyAlignment="1">
      <alignment horizontal="right"/>
    </xf>
    <xf numFmtId="0" fontId="12" fillId="4" borderId="7" xfId="0" applyFont="1" applyFill="1" applyBorder="1" applyAlignment="1">
      <alignment horizontal="right" textRotation="90"/>
    </xf>
    <xf numFmtId="0" fontId="13" fillId="0" borderId="7" xfId="0" applyFont="1" applyBorder="1" applyAlignment="1">
      <alignment horizontal="right" textRotation="90"/>
    </xf>
    <xf numFmtId="0" fontId="14" fillId="4" borderId="7" xfId="0" applyFont="1" applyFill="1" applyBorder="1" applyAlignment="1">
      <alignment horizontal="right" textRotation="90"/>
    </xf>
    <xf numFmtId="0" fontId="13" fillId="0" borderId="0" xfId="0" applyFont="1" applyBorder="1" applyAlignment="1">
      <alignment horizontal="right" textRotation="90"/>
    </xf>
    <xf numFmtId="0" fontId="15" fillId="4" borderId="7" xfId="0" applyFont="1" applyFill="1" applyBorder="1" applyAlignment="1">
      <alignment horizontal="right" textRotation="90"/>
    </xf>
    <xf numFmtId="0" fontId="16" fillId="0" borderId="7" xfId="0" applyFont="1" applyBorder="1" applyAlignment="1">
      <alignment horizontal="right" textRotation="90"/>
    </xf>
    <xf numFmtId="0" fontId="17" fillId="4" borderId="7" xfId="0" applyFont="1" applyFill="1" applyBorder="1" applyAlignment="1">
      <alignment horizontal="right" textRotation="90"/>
    </xf>
    <xf numFmtId="0" fontId="16" fillId="0" borderId="0" xfId="0" applyFont="1" applyBorder="1" applyAlignment="1">
      <alignment horizontal="right" textRotation="90"/>
    </xf>
    <xf numFmtId="0" fontId="16" fillId="0" borderId="7" xfId="0" applyFont="1" applyBorder="1" applyAlignment="1">
      <alignment horizontal="right"/>
    </xf>
    <xf numFmtId="0" fontId="17" fillId="4" borderId="7" xfId="0" applyFont="1" applyFill="1" applyBorder="1" applyAlignment="1">
      <alignment horizontal="right"/>
    </xf>
    <xf numFmtId="0" fontId="15" fillId="4" borderId="7" xfId="0" applyFont="1" applyFill="1" applyBorder="1" applyAlignment="1">
      <alignment horizontal="right"/>
    </xf>
    <xf numFmtId="0" fontId="18" fillId="0" borderId="0" xfId="0" applyFont="1"/>
    <xf numFmtId="0" fontId="19" fillId="0" borderId="0" xfId="0" applyFont="1"/>
    <xf numFmtId="0" fontId="2" fillId="0" borderId="0" xfId="0" applyFont="1" applyAlignment="1">
      <alignment horizontal="center"/>
    </xf>
  </cellXfs>
  <cellStyles count="1">
    <cellStyle name="Normal" xfId="0" builtinId="0"/>
  </cellStyles>
  <dxfs count="7">
    <dxf>
      <font>
        <color theme="3" tint="-0.24994659260841701"/>
      </font>
      <fill>
        <patternFill>
          <bgColor theme="3" tint="-0.24994659260841701"/>
        </patternFill>
      </fill>
    </dxf>
    <dxf>
      <font>
        <color theme="3" tint="-0.24994659260841701"/>
      </font>
      <fill>
        <patternFill>
          <bgColor theme="3" tint="-0.24994659260841701"/>
        </patternFill>
      </fill>
    </dxf>
    <dxf>
      <font>
        <color theme="0"/>
      </font>
      <fill>
        <patternFill patternType="none">
          <bgColor auto="1"/>
        </patternFill>
      </fill>
    </dxf>
    <dxf>
      <font>
        <color theme="0"/>
      </font>
      <fill>
        <patternFill patternType="none">
          <bgColor auto="1"/>
        </patternFill>
      </fill>
    </dxf>
    <dxf>
      <font>
        <color theme="3" tint="-0.24994659260841701"/>
      </font>
      <fill>
        <patternFill>
          <bgColor theme="3" tint="-0.24994659260841701"/>
        </patternFill>
      </fill>
    </dxf>
    <dxf>
      <font>
        <color theme="0"/>
      </font>
      <fill>
        <patternFill patternType="none">
          <bgColor auto="1"/>
        </patternFill>
      </fill>
    </dxf>
    <dxf>
      <font>
        <color theme="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microsoft.com/office/2006/relationships/vbaProject" Target="vbaProject.bin"/><Relationship Id="rId5" Type="http://schemas.openxmlformats.org/officeDocument/2006/relationships/pivotCacheDefinition" Target="pivotCache/pivotCacheDefinition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Spin" dx="16" fmlaLink="$K$2" max="3000" min="2000" page="10" val="2013"/>
</file>

<file path=xl/ctrlProps/ctrlProp2.xml><?xml version="1.0" encoding="utf-8"?>
<formControlPr xmlns="http://schemas.microsoft.com/office/spreadsheetml/2009/9/main" objectType="Spin" dx="16" fmlaLink="$K$2" max="3000" min="2000" page="10" val="2013"/>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0</xdr:colOff>
          <xdr:row>3</xdr:row>
          <xdr:rowOff>0</xdr:rowOff>
        </xdr:from>
        <xdr:to>
          <xdr:col>12</xdr:col>
          <xdr:colOff>0</xdr:colOff>
          <xdr:row>4</xdr:row>
          <xdr:rowOff>0</xdr:rowOff>
        </xdr:to>
        <xdr:sp macro="" textlink="">
          <xdr:nvSpPr>
            <xdr:cNvPr id="10241" name="Spinner 1" hidden="1">
              <a:extLst>
                <a:ext uri="{63B3BB69-23CF-44E3-9099-C40C66FF867C}">
                  <a14:compatExt spid="_x0000_s10241"/>
                </a:ext>
              </a:extLst>
            </xdr:cNvPr>
            <xdr:cNvSpPr/>
          </xdr:nvSpPr>
          <xdr:spPr>
            <a:xfrm>
              <a:off x="0" y="0"/>
              <a:ext cx="0" cy="0"/>
            </a:xfrm>
            <a:prstGeom prst="rect">
              <a:avLst/>
            </a:prstGeom>
          </xdr:spPr>
        </xdr:sp>
        <xdr:clientData/>
      </xdr:twoCellAnchor>
    </mc:Choice>
    <mc:Fallback/>
  </mc:AlternateContent>
  <xdr:twoCellAnchor editAs="oneCell">
    <xdr:from>
      <xdr:col>13</xdr:col>
      <xdr:colOff>0</xdr:colOff>
      <xdr:row>4</xdr:row>
      <xdr:rowOff>219076</xdr:rowOff>
    </xdr:from>
    <xdr:to>
      <xdr:col>15</xdr:col>
      <xdr:colOff>0</xdr:colOff>
      <xdr:row>17</xdr:row>
      <xdr:rowOff>191535</xdr:rowOff>
    </xdr:to>
    <mc:AlternateContent xmlns:mc="http://schemas.openxmlformats.org/markup-compatibility/2006" xmlns:a14="http://schemas.microsoft.com/office/drawing/2010/main">
      <mc:Choice Requires="a14">
        <xdr:graphicFrame macro="">
          <xdr:nvGraphicFramePr>
            <xdr:cNvPr id="3" name="Month"/>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5076825" y="1266826"/>
              <a:ext cx="1219200" cy="1971674"/>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0</xdr:colOff>
          <xdr:row>3</xdr:row>
          <xdr:rowOff>0</xdr:rowOff>
        </xdr:from>
        <xdr:to>
          <xdr:col>12</xdr:col>
          <xdr:colOff>0</xdr:colOff>
          <xdr:row>4</xdr:row>
          <xdr:rowOff>0</xdr:rowOff>
        </xdr:to>
        <xdr:sp macro="" textlink="">
          <xdr:nvSpPr>
            <xdr:cNvPr id="11265" name="Spinner 1" hidden="1">
              <a:extLst>
                <a:ext uri="{63B3BB69-23CF-44E3-9099-C40C66FF867C}">
                  <a14:compatExt spid="_x0000_s11265"/>
                </a:ext>
              </a:extLst>
            </xdr:cNvPr>
            <xdr:cNvSpPr/>
          </xdr:nvSpPr>
          <xdr:spPr>
            <a:xfrm>
              <a:off x="0" y="0"/>
              <a:ext cx="0" cy="0"/>
            </a:xfrm>
            <a:prstGeom prst="rect">
              <a:avLst/>
            </a:prstGeom>
          </xdr:spPr>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tifNaseem" refreshedDate="41304.614061574073" createdVersion="4" refreshedVersion="4" minRefreshableVersion="3" recordCount="366">
  <cacheSource type="worksheet">
    <worksheetSource ref="B3:H369" sheet="Calendar-Data"/>
  </cacheSource>
  <cacheFields count="7">
    <cacheField name="Date" numFmtId="164">
      <sharedItems containsSemiMixedTypes="0" containsNonDate="0" containsDate="1" containsString="0" minDate="2013-01-01T00:00:00" maxDate="2014-01-01T00:00:00"/>
    </cacheField>
    <cacheField name="Day Num" numFmtId="0">
      <sharedItems containsMixedTypes="1" containsNumber="1" containsInteger="1" minValue="1" maxValue="31"/>
    </cacheField>
    <cacheField name="Month" numFmtId="0">
      <sharedItems count="12">
        <s v="Jan"/>
        <s v="Feb"/>
        <s v="Mar"/>
        <s v="Apr"/>
        <s v="May"/>
        <s v="Jun"/>
        <s v="Jul"/>
        <s v="Aug"/>
        <s v="Sep"/>
        <s v="Oct"/>
        <s v="Nov"/>
        <s v="Dec"/>
      </sharedItems>
    </cacheField>
    <cacheField name="Weekday" numFmtId="0">
      <sharedItems containsMixedTypes="1" containsNumber="1" containsInteger="1" minValue="1" maxValue="7"/>
    </cacheField>
    <cacheField name="Week Num" numFmtId="0">
      <sharedItems containsMixedTypes="1" containsNumber="1" containsInteger="1" minValue="1" maxValue="6" count="7">
        <n v="1"/>
        <n v="2"/>
        <n v="3"/>
        <n v="4"/>
        <n v="5"/>
        <n v="6"/>
        <s v=""/>
      </sharedItems>
    </cacheField>
    <cacheField name="Day" numFmtId="0">
      <sharedItems count="8">
        <s v="Tue"/>
        <s v="Wed"/>
        <s v="Thu"/>
        <s v="Fri"/>
        <s v="Sat"/>
        <s v="Sun"/>
        <s v="Mon"/>
        <s v=""/>
      </sharedItems>
    </cacheField>
    <cacheField name="Data" numFmtId="0">
      <sharedItems containsMixedTypes="1" containsNumber="1" containsInteger="1" minValue="165" maxValue="234"/>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366">
  <r>
    <d v="2013-01-01T00:00:00"/>
    <n v="1"/>
    <x v="0"/>
    <n v="3"/>
    <x v="0"/>
    <x v="0"/>
    <n v="214"/>
  </r>
  <r>
    <d v="2013-01-02T00:00:00"/>
    <n v="2"/>
    <x v="0"/>
    <n v="4"/>
    <x v="0"/>
    <x v="1"/>
    <n v="184"/>
  </r>
  <r>
    <d v="2013-01-03T00:00:00"/>
    <n v="3"/>
    <x v="0"/>
    <n v="5"/>
    <x v="0"/>
    <x v="2"/>
    <n v="176"/>
  </r>
  <r>
    <d v="2013-01-04T00:00:00"/>
    <n v="4"/>
    <x v="0"/>
    <n v="6"/>
    <x v="0"/>
    <x v="3"/>
    <n v="167"/>
  </r>
  <r>
    <d v="2013-01-05T00:00:00"/>
    <n v="5"/>
    <x v="0"/>
    <n v="7"/>
    <x v="0"/>
    <x v="4"/>
    <n v="221"/>
  </r>
  <r>
    <d v="2013-01-06T00:00:00"/>
    <n v="6"/>
    <x v="0"/>
    <n v="1"/>
    <x v="1"/>
    <x v="5"/>
    <n v="168"/>
  </r>
  <r>
    <d v="2013-01-07T00:00:00"/>
    <n v="7"/>
    <x v="0"/>
    <n v="2"/>
    <x v="1"/>
    <x v="6"/>
    <n v="177"/>
  </r>
  <r>
    <d v="2013-01-08T00:00:00"/>
    <n v="8"/>
    <x v="0"/>
    <n v="3"/>
    <x v="1"/>
    <x v="0"/>
    <n v="183"/>
  </r>
  <r>
    <d v="2013-01-09T00:00:00"/>
    <n v="9"/>
    <x v="0"/>
    <n v="4"/>
    <x v="1"/>
    <x v="1"/>
    <n v="223"/>
  </r>
  <r>
    <d v="2013-01-10T00:00:00"/>
    <n v="10"/>
    <x v="0"/>
    <n v="5"/>
    <x v="1"/>
    <x v="2"/>
    <n v="201"/>
  </r>
  <r>
    <d v="2013-01-11T00:00:00"/>
    <n v="11"/>
    <x v="0"/>
    <n v="6"/>
    <x v="1"/>
    <x v="3"/>
    <n v="166"/>
  </r>
  <r>
    <d v="2013-01-12T00:00:00"/>
    <n v="12"/>
    <x v="0"/>
    <n v="7"/>
    <x v="1"/>
    <x v="4"/>
    <n v="213"/>
  </r>
  <r>
    <d v="2013-01-13T00:00:00"/>
    <n v="13"/>
    <x v="0"/>
    <n v="1"/>
    <x v="2"/>
    <x v="5"/>
    <n v="211"/>
  </r>
  <r>
    <d v="2013-01-14T00:00:00"/>
    <n v="14"/>
    <x v="0"/>
    <n v="2"/>
    <x v="2"/>
    <x v="6"/>
    <n v="175"/>
  </r>
  <r>
    <d v="2013-01-15T00:00:00"/>
    <n v="15"/>
    <x v="0"/>
    <n v="3"/>
    <x v="2"/>
    <x v="0"/>
    <n v="178"/>
  </r>
  <r>
    <d v="2013-01-16T00:00:00"/>
    <n v="16"/>
    <x v="0"/>
    <n v="4"/>
    <x v="2"/>
    <x v="1"/>
    <n v="208"/>
  </r>
  <r>
    <d v="2013-01-17T00:00:00"/>
    <n v="17"/>
    <x v="0"/>
    <n v="5"/>
    <x v="2"/>
    <x v="2"/>
    <n v="190"/>
  </r>
  <r>
    <d v="2013-01-18T00:00:00"/>
    <n v="18"/>
    <x v="0"/>
    <n v="6"/>
    <x v="2"/>
    <x v="3"/>
    <n v="211"/>
  </r>
  <r>
    <d v="2013-01-19T00:00:00"/>
    <n v="19"/>
    <x v="0"/>
    <n v="7"/>
    <x v="2"/>
    <x v="4"/>
    <n v="210"/>
  </r>
  <r>
    <d v="2013-01-20T00:00:00"/>
    <n v="20"/>
    <x v="0"/>
    <n v="1"/>
    <x v="3"/>
    <x v="5"/>
    <n v="217"/>
  </r>
  <r>
    <d v="2013-01-21T00:00:00"/>
    <n v="21"/>
    <x v="0"/>
    <n v="2"/>
    <x v="3"/>
    <x v="6"/>
    <n v="202"/>
  </r>
  <r>
    <d v="2013-01-22T00:00:00"/>
    <n v="22"/>
    <x v="0"/>
    <n v="3"/>
    <x v="3"/>
    <x v="0"/>
    <n v="194"/>
  </r>
  <r>
    <d v="2013-01-23T00:00:00"/>
    <n v="23"/>
    <x v="0"/>
    <n v="4"/>
    <x v="3"/>
    <x v="1"/>
    <n v="224"/>
  </r>
  <r>
    <d v="2013-01-24T00:00:00"/>
    <n v="24"/>
    <x v="0"/>
    <n v="5"/>
    <x v="3"/>
    <x v="2"/>
    <n v="182"/>
  </r>
  <r>
    <d v="2013-01-25T00:00:00"/>
    <n v="25"/>
    <x v="0"/>
    <n v="6"/>
    <x v="3"/>
    <x v="3"/>
    <n v="209"/>
  </r>
  <r>
    <d v="2013-01-26T00:00:00"/>
    <n v="26"/>
    <x v="0"/>
    <n v="7"/>
    <x v="3"/>
    <x v="4"/>
    <n v="195"/>
  </r>
  <r>
    <d v="2013-01-27T00:00:00"/>
    <n v="27"/>
    <x v="0"/>
    <n v="1"/>
    <x v="4"/>
    <x v="5"/>
    <n v="230"/>
  </r>
  <r>
    <d v="2013-01-28T00:00:00"/>
    <n v="28"/>
    <x v="0"/>
    <n v="2"/>
    <x v="4"/>
    <x v="6"/>
    <n v="208"/>
  </r>
  <r>
    <d v="2013-01-29T00:00:00"/>
    <n v="29"/>
    <x v="0"/>
    <n v="3"/>
    <x v="4"/>
    <x v="0"/>
    <n v="186"/>
  </r>
  <r>
    <d v="2013-01-30T00:00:00"/>
    <n v="30"/>
    <x v="0"/>
    <n v="4"/>
    <x v="4"/>
    <x v="1"/>
    <n v="179"/>
  </r>
  <r>
    <d v="2013-01-31T00:00:00"/>
    <n v="31"/>
    <x v="0"/>
    <n v="5"/>
    <x v="4"/>
    <x v="2"/>
    <n v="215"/>
  </r>
  <r>
    <d v="2013-02-01T00:00:00"/>
    <n v="1"/>
    <x v="1"/>
    <n v="6"/>
    <x v="0"/>
    <x v="3"/>
    <n v="197"/>
  </r>
  <r>
    <d v="2013-02-02T00:00:00"/>
    <n v="2"/>
    <x v="1"/>
    <n v="7"/>
    <x v="0"/>
    <x v="4"/>
    <n v="234"/>
  </r>
  <r>
    <d v="2013-02-03T00:00:00"/>
    <n v="3"/>
    <x v="1"/>
    <n v="1"/>
    <x v="1"/>
    <x v="5"/>
    <n v="174"/>
  </r>
  <r>
    <d v="2013-02-04T00:00:00"/>
    <n v="4"/>
    <x v="1"/>
    <n v="2"/>
    <x v="1"/>
    <x v="6"/>
    <n v="230"/>
  </r>
  <r>
    <d v="2013-02-05T00:00:00"/>
    <n v="5"/>
    <x v="1"/>
    <n v="3"/>
    <x v="1"/>
    <x v="0"/>
    <n v="166"/>
  </r>
  <r>
    <d v="2013-02-06T00:00:00"/>
    <n v="6"/>
    <x v="1"/>
    <n v="4"/>
    <x v="1"/>
    <x v="1"/>
    <n v="193"/>
  </r>
  <r>
    <d v="2013-02-07T00:00:00"/>
    <n v="7"/>
    <x v="1"/>
    <n v="5"/>
    <x v="1"/>
    <x v="2"/>
    <n v="207"/>
  </r>
  <r>
    <d v="2013-02-08T00:00:00"/>
    <n v="8"/>
    <x v="1"/>
    <n v="6"/>
    <x v="1"/>
    <x v="3"/>
    <n v="207"/>
  </r>
  <r>
    <d v="2013-02-09T00:00:00"/>
    <n v="9"/>
    <x v="1"/>
    <n v="7"/>
    <x v="1"/>
    <x v="4"/>
    <n v="219"/>
  </r>
  <r>
    <d v="2013-02-10T00:00:00"/>
    <n v="10"/>
    <x v="1"/>
    <n v="1"/>
    <x v="2"/>
    <x v="5"/>
    <n v="167"/>
  </r>
  <r>
    <d v="2013-02-11T00:00:00"/>
    <n v="11"/>
    <x v="1"/>
    <n v="2"/>
    <x v="2"/>
    <x v="6"/>
    <n v="192"/>
  </r>
  <r>
    <d v="2013-02-12T00:00:00"/>
    <n v="12"/>
    <x v="1"/>
    <n v="3"/>
    <x v="2"/>
    <x v="0"/>
    <n v="194"/>
  </r>
  <r>
    <d v="2013-02-13T00:00:00"/>
    <n v="13"/>
    <x v="1"/>
    <n v="4"/>
    <x v="2"/>
    <x v="1"/>
    <n v="229"/>
  </r>
  <r>
    <d v="2013-02-14T00:00:00"/>
    <n v="14"/>
    <x v="1"/>
    <n v="5"/>
    <x v="2"/>
    <x v="2"/>
    <n v="188"/>
  </r>
  <r>
    <d v="2013-02-15T00:00:00"/>
    <n v="15"/>
    <x v="1"/>
    <n v="6"/>
    <x v="2"/>
    <x v="3"/>
    <n v="232"/>
  </r>
  <r>
    <d v="2013-02-16T00:00:00"/>
    <n v="16"/>
    <x v="1"/>
    <n v="7"/>
    <x v="2"/>
    <x v="4"/>
    <n v="176"/>
  </r>
  <r>
    <d v="2013-02-17T00:00:00"/>
    <n v="17"/>
    <x v="1"/>
    <n v="1"/>
    <x v="3"/>
    <x v="5"/>
    <n v="176"/>
  </r>
  <r>
    <d v="2013-02-18T00:00:00"/>
    <n v="18"/>
    <x v="1"/>
    <n v="2"/>
    <x v="3"/>
    <x v="6"/>
    <n v="221"/>
  </r>
  <r>
    <d v="2013-02-19T00:00:00"/>
    <n v="19"/>
    <x v="1"/>
    <n v="3"/>
    <x v="3"/>
    <x v="0"/>
    <n v="183"/>
  </r>
  <r>
    <d v="2013-02-20T00:00:00"/>
    <n v="20"/>
    <x v="1"/>
    <n v="4"/>
    <x v="3"/>
    <x v="1"/>
    <n v="193"/>
  </r>
  <r>
    <d v="2013-02-21T00:00:00"/>
    <n v="21"/>
    <x v="1"/>
    <n v="5"/>
    <x v="3"/>
    <x v="2"/>
    <n v="228"/>
  </r>
  <r>
    <d v="2013-02-22T00:00:00"/>
    <n v="22"/>
    <x v="1"/>
    <n v="6"/>
    <x v="3"/>
    <x v="3"/>
    <n v="177"/>
  </r>
  <r>
    <d v="2013-02-23T00:00:00"/>
    <n v="23"/>
    <x v="1"/>
    <n v="7"/>
    <x v="3"/>
    <x v="4"/>
    <n v="233"/>
  </r>
  <r>
    <d v="2013-02-24T00:00:00"/>
    <n v="24"/>
    <x v="1"/>
    <n v="1"/>
    <x v="4"/>
    <x v="5"/>
    <n v="167"/>
  </r>
  <r>
    <d v="2013-02-25T00:00:00"/>
    <n v="25"/>
    <x v="1"/>
    <n v="2"/>
    <x v="4"/>
    <x v="6"/>
    <n v="187"/>
  </r>
  <r>
    <d v="2013-02-26T00:00:00"/>
    <n v="26"/>
    <x v="1"/>
    <n v="3"/>
    <x v="4"/>
    <x v="0"/>
    <n v="172"/>
  </r>
  <r>
    <d v="2013-02-27T00:00:00"/>
    <n v="27"/>
    <x v="1"/>
    <n v="4"/>
    <x v="4"/>
    <x v="1"/>
    <n v="223"/>
  </r>
  <r>
    <d v="2013-02-28T00:00:00"/>
    <n v="28"/>
    <x v="1"/>
    <n v="5"/>
    <x v="4"/>
    <x v="2"/>
    <n v="208"/>
  </r>
  <r>
    <d v="2013-03-01T00:00:00"/>
    <n v="1"/>
    <x v="2"/>
    <n v="6"/>
    <x v="0"/>
    <x v="3"/>
    <n v="219"/>
  </r>
  <r>
    <d v="2013-03-02T00:00:00"/>
    <n v="2"/>
    <x v="2"/>
    <n v="7"/>
    <x v="0"/>
    <x v="4"/>
    <n v="175"/>
  </r>
  <r>
    <d v="2013-03-03T00:00:00"/>
    <n v="3"/>
    <x v="2"/>
    <n v="1"/>
    <x v="1"/>
    <x v="5"/>
    <n v="211"/>
  </r>
  <r>
    <d v="2013-03-04T00:00:00"/>
    <n v="4"/>
    <x v="2"/>
    <n v="2"/>
    <x v="1"/>
    <x v="6"/>
    <n v="207"/>
  </r>
  <r>
    <d v="2013-03-05T00:00:00"/>
    <n v="5"/>
    <x v="2"/>
    <n v="3"/>
    <x v="1"/>
    <x v="0"/>
    <n v="228"/>
  </r>
  <r>
    <d v="2013-03-06T00:00:00"/>
    <n v="6"/>
    <x v="2"/>
    <n v="4"/>
    <x v="1"/>
    <x v="1"/>
    <n v="222"/>
  </r>
  <r>
    <d v="2013-03-07T00:00:00"/>
    <n v="7"/>
    <x v="2"/>
    <n v="5"/>
    <x v="1"/>
    <x v="2"/>
    <n v="177"/>
  </r>
  <r>
    <d v="2013-03-08T00:00:00"/>
    <n v="8"/>
    <x v="2"/>
    <n v="6"/>
    <x v="1"/>
    <x v="3"/>
    <n v="207"/>
  </r>
  <r>
    <d v="2013-03-09T00:00:00"/>
    <n v="9"/>
    <x v="2"/>
    <n v="7"/>
    <x v="1"/>
    <x v="4"/>
    <n v="189"/>
  </r>
  <r>
    <d v="2013-03-10T00:00:00"/>
    <n v="10"/>
    <x v="2"/>
    <n v="1"/>
    <x v="2"/>
    <x v="5"/>
    <n v="218"/>
  </r>
  <r>
    <d v="2013-03-11T00:00:00"/>
    <n v="11"/>
    <x v="2"/>
    <n v="2"/>
    <x v="2"/>
    <x v="6"/>
    <n v="175"/>
  </r>
  <r>
    <d v="2013-03-12T00:00:00"/>
    <n v="12"/>
    <x v="2"/>
    <n v="3"/>
    <x v="2"/>
    <x v="0"/>
    <n v="233"/>
  </r>
  <r>
    <d v="2013-03-13T00:00:00"/>
    <n v="13"/>
    <x v="2"/>
    <n v="4"/>
    <x v="2"/>
    <x v="1"/>
    <n v="228"/>
  </r>
  <r>
    <d v="2013-03-14T00:00:00"/>
    <n v="14"/>
    <x v="2"/>
    <n v="5"/>
    <x v="2"/>
    <x v="2"/>
    <n v="170"/>
  </r>
  <r>
    <d v="2013-03-15T00:00:00"/>
    <n v="15"/>
    <x v="2"/>
    <n v="6"/>
    <x v="2"/>
    <x v="3"/>
    <n v="190"/>
  </r>
  <r>
    <d v="2013-03-16T00:00:00"/>
    <n v="16"/>
    <x v="2"/>
    <n v="7"/>
    <x v="2"/>
    <x v="4"/>
    <n v="220"/>
  </r>
  <r>
    <d v="2013-03-17T00:00:00"/>
    <n v="17"/>
    <x v="2"/>
    <n v="1"/>
    <x v="3"/>
    <x v="5"/>
    <n v="204"/>
  </r>
  <r>
    <d v="2013-03-18T00:00:00"/>
    <n v="18"/>
    <x v="2"/>
    <n v="2"/>
    <x v="3"/>
    <x v="6"/>
    <n v="214"/>
  </r>
  <r>
    <d v="2013-03-19T00:00:00"/>
    <n v="19"/>
    <x v="2"/>
    <n v="3"/>
    <x v="3"/>
    <x v="0"/>
    <n v="213"/>
  </r>
  <r>
    <d v="2013-03-20T00:00:00"/>
    <n v="20"/>
    <x v="2"/>
    <n v="4"/>
    <x v="3"/>
    <x v="1"/>
    <n v="190"/>
  </r>
  <r>
    <d v="2013-03-21T00:00:00"/>
    <n v="21"/>
    <x v="2"/>
    <n v="5"/>
    <x v="3"/>
    <x v="2"/>
    <n v="218"/>
  </r>
  <r>
    <d v="2013-03-22T00:00:00"/>
    <n v="22"/>
    <x v="2"/>
    <n v="6"/>
    <x v="3"/>
    <x v="3"/>
    <n v="213"/>
  </r>
  <r>
    <d v="2013-03-23T00:00:00"/>
    <n v="23"/>
    <x v="2"/>
    <n v="7"/>
    <x v="3"/>
    <x v="4"/>
    <n v="209"/>
  </r>
  <r>
    <d v="2013-03-24T00:00:00"/>
    <n v="24"/>
    <x v="2"/>
    <n v="1"/>
    <x v="4"/>
    <x v="5"/>
    <n v="166"/>
  </r>
  <r>
    <d v="2013-03-25T00:00:00"/>
    <n v="25"/>
    <x v="2"/>
    <n v="2"/>
    <x v="4"/>
    <x v="6"/>
    <n v="201"/>
  </r>
  <r>
    <d v="2013-03-26T00:00:00"/>
    <n v="26"/>
    <x v="2"/>
    <n v="3"/>
    <x v="4"/>
    <x v="0"/>
    <n v="191"/>
  </r>
  <r>
    <d v="2013-03-27T00:00:00"/>
    <n v="27"/>
    <x v="2"/>
    <n v="4"/>
    <x v="4"/>
    <x v="1"/>
    <n v="197"/>
  </r>
  <r>
    <d v="2013-03-28T00:00:00"/>
    <n v="28"/>
    <x v="2"/>
    <n v="5"/>
    <x v="4"/>
    <x v="2"/>
    <n v="226"/>
  </r>
  <r>
    <d v="2013-03-29T00:00:00"/>
    <n v="29"/>
    <x v="2"/>
    <n v="6"/>
    <x v="4"/>
    <x v="3"/>
    <n v="173"/>
  </r>
  <r>
    <d v="2013-03-30T00:00:00"/>
    <n v="30"/>
    <x v="2"/>
    <n v="7"/>
    <x v="4"/>
    <x v="4"/>
    <n v="233"/>
  </r>
  <r>
    <d v="2013-03-31T00:00:00"/>
    <n v="31"/>
    <x v="2"/>
    <n v="1"/>
    <x v="5"/>
    <x v="5"/>
    <n v="227"/>
  </r>
  <r>
    <d v="2013-04-01T00:00:00"/>
    <n v="1"/>
    <x v="3"/>
    <n v="2"/>
    <x v="0"/>
    <x v="6"/>
    <n v="226"/>
  </r>
  <r>
    <d v="2013-04-02T00:00:00"/>
    <n v="2"/>
    <x v="3"/>
    <n v="3"/>
    <x v="0"/>
    <x v="0"/>
    <n v="217"/>
  </r>
  <r>
    <d v="2013-04-03T00:00:00"/>
    <n v="3"/>
    <x v="3"/>
    <n v="4"/>
    <x v="0"/>
    <x v="1"/>
    <n v="234"/>
  </r>
  <r>
    <d v="2013-04-04T00:00:00"/>
    <n v="4"/>
    <x v="3"/>
    <n v="5"/>
    <x v="0"/>
    <x v="2"/>
    <n v="212"/>
  </r>
  <r>
    <d v="2013-04-05T00:00:00"/>
    <n v="5"/>
    <x v="3"/>
    <n v="6"/>
    <x v="0"/>
    <x v="3"/>
    <n v="233"/>
  </r>
  <r>
    <d v="2013-04-06T00:00:00"/>
    <n v="6"/>
    <x v="3"/>
    <n v="7"/>
    <x v="0"/>
    <x v="4"/>
    <n v="172"/>
  </r>
  <r>
    <d v="2013-04-07T00:00:00"/>
    <n v="7"/>
    <x v="3"/>
    <n v="1"/>
    <x v="1"/>
    <x v="5"/>
    <n v="166"/>
  </r>
  <r>
    <d v="2013-04-08T00:00:00"/>
    <n v="8"/>
    <x v="3"/>
    <n v="2"/>
    <x v="1"/>
    <x v="6"/>
    <n v="227"/>
  </r>
  <r>
    <d v="2013-04-09T00:00:00"/>
    <n v="9"/>
    <x v="3"/>
    <n v="3"/>
    <x v="1"/>
    <x v="0"/>
    <n v="207"/>
  </r>
  <r>
    <d v="2013-04-10T00:00:00"/>
    <n v="10"/>
    <x v="3"/>
    <n v="4"/>
    <x v="1"/>
    <x v="1"/>
    <n v="234"/>
  </r>
  <r>
    <d v="2013-04-11T00:00:00"/>
    <n v="11"/>
    <x v="3"/>
    <n v="5"/>
    <x v="1"/>
    <x v="2"/>
    <n v="220"/>
  </r>
  <r>
    <d v="2013-04-12T00:00:00"/>
    <n v="12"/>
    <x v="3"/>
    <n v="6"/>
    <x v="1"/>
    <x v="3"/>
    <n v="219"/>
  </r>
  <r>
    <d v="2013-04-13T00:00:00"/>
    <n v="13"/>
    <x v="3"/>
    <n v="7"/>
    <x v="1"/>
    <x v="4"/>
    <n v="193"/>
  </r>
  <r>
    <d v="2013-04-14T00:00:00"/>
    <n v="14"/>
    <x v="3"/>
    <n v="1"/>
    <x v="2"/>
    <x v="5"/>
    <n v="224"/>
  </r>
  <r>
    <d v="2013-04-15T00:00:00"/>
    <n v="15"/>
    <x v="3"/>
    <n v="2"/>
    <x v="2"/>
    <x v="6"/>
    <n v="180"/>
  </r>
  <r>
    <d v="2013-04-16T00:00:00"/>
    <n v="16"/>
    <x v="3"/>
    <n v="3"/>
    <x v="2"/>
    <x v="0"/>
    <n v="229"/>
  </r>
  <r>
    <d v="2013-04-17T00:00:00"/>
    <n v="17"/>
    <x v="3"/>
    <n v="4"/>
    <x v="2"/>
    <x v="1"/>
    <n v="180"/>
  </r>
  <r>
    <d v="2013-04-18T00:00:00"/>
    <n v="18"/>
    <x v="3"/>
    <n v="5"/>
    <x v="2"/>
    <x v="2"/>
    <n v="188"/>
  </r>
  <r>
    <d v="2013-04-19T00:00:00"/>
    <n v="19"/>
    <x v="3"/>
    <n v="6"/>
    <x v="2"/>
    <x v="3"/>
    <n v="179"/>
  </r>
  <r>
    <d v="2013-04-20T00:00:00"/>
    <n v="20"/>
    <x v="3"/>
    <n v="7"/>
    <x v="2"/>
    <x v="4"/>
    <n v="206"/>
  </r>
  <r>
    <d v="2013-04-21T00:00:00"/>
    <n v="21"/>
    <x v="3"/>
    <n v="1"/>
    <x v="3"/>
    <x v="5"/>
    <n v="229"/>
  </r>
  <r>
    <d v="2013-04-22T00:00:00"/>
    <n v="22"/>
    <x v="3"/>
    <n v="2"/>
    <x v="3"/>
    <x v="6"/>
    <n v="165"/>
  </r>
  <r>
    <d v="2013-04-23T00:00:00"/>
    <n v="23"/>
    <x v="3"/>
    <n v="3"/>
    <x v="3"/>
    <x v="0"/>
    <n v="202"/>
  </r>
  <r>
    <d v="2013-04-24T00:00:00"/>
    <n v="24"/>
    <x v="3"/>
    <n v="4"/>
    <x v="3"/>
    <x v="1"/>
    <n v="214"/>
  </r>
  <r>
    <d v="2013-04-25T00:00:00"/>
    <n v="25"/>
    <x v="3"/>
    <n v="5"/>
    <x v="3"/>
    <x v="2"/>
    <n v="174"/>
  </r>
  <r>
    <d v="2013-04-26T00:00:00"/>
    <n v="26"/>
    <x v="3"/>
    <n v="6"/>
    <x v="3"/>
    <x v="3"/>
    <n v="210"/>
  </r>
  <r>
    <d v="2013-04-27T00:00:00"/>
    <n v="27"/>
    <x v="3"/>
    <n v="7"/>
    <x v="3"/>
    <x v="4"/>
    <n v="198"/>
  </r>
  <r>
    <d v="2013-04-28T00:00:00"/>
    <n v="28"/>
    <x v="3"/>
    <n v="1"/>
    <x v="4"/>
    <x v="5"/>
    <n v="233"/>
  </r>
  <r>
    <d v="2013-04-29T00:00:00"/>
    <n v="29"/>
    <x v="3"/>
    <n v="2"/>
    <x v="4"/>
    <x v="6"/>
    <n v="171"/>
  </r>
  <r>
    <d v="2013-04-30T00:00:00"/>
    <n v="30"/>
    <x v="3"/>
    <n v="3"/>
    <x v="4"/>
    <x v="0"/>
    <n v="180"/>
  </r>
  <r>
    <d v="2013-05-01T00:00:00"/>
    <n v="1"/>
    <x v="4"/>
    <n v="4"/>
    <x v="0"/>
    <x v="1"/>
    <n v="208"/>
  </r>
  <r>
    <d v="2013-05-02T00:00:00"/>
    <n v="2"/>
    <x v="4"/>
    <n v="5"/>
    <x v="0"/>
    <x v="2"/>
    <n v="224"/>
  </r>
  <r>
    <d v="2013-05-03T00:00:00"/>
    <n v="3"/>
    <x v="4"/>
    <n v="6"/>
    <x v="0"/>
    <x v="3"/>
    <n v="189"/>
  </r>
  <r>
    <d v="2013-05-04T00:00:00"/>
    <n v="4"/>
    <x v="4"/>
    <n v="7"/>
    <x v="0"/>
    <x v="4"/>
    <n v="182"/>
  </r>
  <r>
    <d v="2013-05-05T00:00:00"/>
    <n v="5"/>
    <x v="4"/>
    <n v="1"/>
    <x v="1"/>
    <x v="5"/>
    <n v="177"/>
  </r>
  <r>
    <d v="2013-05-06T00:00:00"/>
    <n v="6"/>
    <x v="4"/>
    <n v="2"/>
    <x v="1"/>
    <x v="6"/>
    <n v="205"/>
  </r>
  <r>
    <d v="2013-05-07T00:00:00"/>
    <n v="7"/>
    <x v="4"/>
    <n v="3"/>
    <x v="1"/>
    <x v="0"/>
    <n v="218"/>
  </r>
  <r>
    <d v="2013-05-08T00:00:00"/>
    <n v="8"/>
    <x v="4"/>
    <n v="4"/>
    <x v="1"/>
    <x v="1"/>
    <n v="180"/>
  </r>
  <r>
    <d v="2013-05-09T00:00:00"/>
    <n v="9"/>
    <x v="4"/>
    <n v="5"/>
    <x v="1"/>
    <x v="2"/>
    <n v="180"/>
  </r>
  <r>
    <d v="2013-05-10T00:00:00"/>
    <n v="10"/>
    <x v="4"/>
    <n v="6"/>
    <x v="1"/>
    <x v="3"/>
    <n v="169"/>
  </r>
  <r>
    <d v="2013-05-11T00:00:00"/>
    <n v="11"/>
    <x v="4"/>
    <n v="7"/>
    <x v="1"/>
    <x v="4"/>
    <n v="231"/>
  </r>
  <r>
    <d v="2013-05-12T00:00:00"/>
    <n v="12"/>
    <x v="4"/>
    <n v="1"/>
    <x v="2"/>
    <x v="5"/>
    <n v="179"/>
  </r>
  <r>
    <d v="2013-05-13T00:00:00"/>
    <n v="13"/>
    <x v="4"/>
    <n v="2"/>
    <x v="2"/>
    <x v="6"/>
    <n v="189"/>
  </r>
  <r>
    <d v="2013-05-14T00:00:00"/>
    <n v="14"/>
    <x v="4"/>
    <n v="3"/>
    <x v="2"/>
    <x v="0"/>
    <n v="202"/>
  </r>
  <r>
    <d v="2013-05-15T00:00:00"/>
    <n v="15"/>
    <x v="4"/>
    <n v="4"/>
    <x v="2"/>
    <x v="1"/>
    <n v="173"/>
  </r>
  <r>
    <d v="2013-05-16T00:00:00"/>
    <n v="16"/>
    <x v="4"/>
    <n v="5"/>
    <x v="2"/>
    <x v="2"/>
    <n v="195"/>
  </r>
  <r>
    <d v="2013-05-17T00:00:00"/>
    <n v="17"/>
    <x v="4"/>
    <n v="6"/>
    <x v="2"/>
    <x v="3"/>
    <n v="206"/>
  </r>
  <r>
    <d v="2013-05-18T00:00:00"/>
    <n v="18"/>
    <x v="4"/>
    <n v="7"/>
    <x v="2"/>
    <x v="4"/>
    <n v="218"/>
  </r>
  <r>
    <d v="2013-05-19T00:00:00"/>
    <n v="19"/>
    <x v="4"/>
    <n v="1"/>
    <x v="3"/>
    <x v="5"/>
    <n v="187"/>
  </r>
  <r>
    <d v="2013-05-20T00:00:00"/>
    <n v="20"/>
    <x v="4"/>
    <n v="2"/>
    <x v="3"/>
    <x v="6"/>
    <n v="218"/>
  </r>
  <r>
    <d v="2013-05-21T00:00:00"/>
    <n v="21"/>
    <x v="4"/>
    <n v="3"/>
    <x v="3"/>
    <x v="0"/>
    <n v="200"/>
  </r>
  <r>
    <d v="2013-05-22T00:00:00"/>
    <n v="22"/>
    <x v="4"/>
    <n v="4"/>
    <x v="3"/>
    <x v="1"/>
    <n v="165"/>
  </r>
  <r>
    <d v="2013-05-23T00:00:00"/>
    <n v="23"/>
    <x v="4"/>
    <n v="5"/>
    <x v="3"/>
    <x v="2"/>
    <n v="199"/>
  </r>
  <r>
    <d v="2013-05-24T00:00:00"/>
    <n v="24"/>
    <x v="4"/>
    <n v="6"/>
    <x v="3"/>
    <x v="3"/>
    <n v="185"/>
  </r>
  <r>
    <d v="2013-05-25T00:00:00"/>
    <n v="25"/>
    <x v="4"/>
    <n v="7"/>
    <x v="3"/>
    <x v="4"/>
    <n v="188"/>
  </r>
  <r>
    <d v="2013-05-26T00:00:00"/>
    <n v="26"/>
    <x v="4"/>
    <n v="1"/>
    <x v="4"/>
    <x v="5"/>
    <n v="193"/>
  </r>
  <r>
    <d v="2013-05-27T00:00:00"/>
    <n v="27"/>
    <x v="4"/>
    <n v="2"/>
    <x v="4"/>
    <x v="6"/>
    <n v="207"/>
  </r>
  <r>
    <d v="2013-05-28T00:00:00"/>
    <n v="28"/>
    <x v="4"/>
    <n v="3"/>
    <x v="4"/>
    <x v="0"/>
    <n v="183"/>
  </r>
  <r>
    <d v="2013-05-29T00:00:00"/>
    <n v="29"/>
    <x v="4"/>
    <n v="4"/>
    <x v="4"/>
    <x v="1"/>
    <n v="216"/>
  </r>
  <r>
    <d v="2013-05-30T00:00:00"/>
    <n v="30"/>
    <x v="4"/>
    <n v="5"/>
    <x v="4"/>
    <x v="2"/>
    <n v="213"/>
  </r>
  <r>
    <d v="2013-05-31T00:00:00"/>
    <n v="31"/>
    <x v="4"/>
    <n v="6"/>
    <x v="4"/>
    <x v="3"/>
    <n v="232"/>
  </r>
  <r>
    <d v="2013-06-01T00:00:00"/>
    <n v="1"/>
    <x v="5"/>
    <n v="7"/>
    <x v="0"/>
    <x v="4"/>
    <n v="205"/>
  </r>
  <r>
    <d v="2013-06-02T00:00:00"/>
    <n v="2"/>
    <x v="5"/>
    <n v="1"/>
    <x v="1"/>
    <x v="5"/>
    <n v="209"/>
  </r>
  <r>
    <d v="2013-06-03T00:00:00"/>
    <n v="3"/>
    <x v="5"/>
    <n v="2"/>
    <x v="1"/>
    <x v="6"/>
    <n v="213"/>
  </r>
  <r>
    <d v="2013-06-04T00:00:00"/>
    <n v="4"/>
    <x v="5"/>
    <n v="3"/>
    <x v="1"/>
    <x v="0"/>
    <n v="219"/>
  </r>
  <r>
    <d v="2013-06-05T00:00:00"/>
    <n v="5"/>
    <x v="5"/>
    <n v="4"/>
    <x v="1"/>
    <x v="1"/>
    <n v="171"/>
  </r>
  <r>
    <d v="2013-06-06T00:00:00"/>
    <n v="6"/>
    <x v="5"/>
    <n v="5"/>
    <x v="1"/>
    <x v="2"/>
    <n v="174"/>
  </r>
  <r>
    <d v="2013-06-07T00:00:00"/>
    <n v="7"/>
    <x v="5"/>
    <n v="6"/>
    <x v="1"/>
    <x v="3"/>
    <n v="197"/>
  </r>
  <r>
    <d v="2013-06-08T00:00:00"/>
    <n v="8"/>
    <x v="5"/>
    <n v="7"/>
    <x v="1"/>
    <x v="4"/>
    <n v="186"/>
  </r>
  <r>
    <d v="2013-06-09T00:00:00"/>
    <n v="9"/>
    <x v="5"/>
    <n v="1"/>
    <x v="2"/>
    <x v="5"/>
    <n v="203"/>
  </r>
  <r>
    <d v="2013-06-10T00:00:00"/>
    <n v="10"/>
    <x v="5"/>
    <n v="2"/>
    <x v="2"/>
    <x v="6"/>
    <n v="179"/>
  </r>
  <r>
    <d v="2013-06-11T00:00:00"/>
    <n v="11"/>
    <x v="5"/>
    <n v="3"/>
    <x v="2"/>
    <x v="0"/>
    <n v="181"/>
  </r>
  <r>
    <d v="2013-06-12T00:00:00"/>
    <n v="12"/>
    <x v="5"/>
    <n v="4"/>
    <x v="2"/>
    <x v="1"/>
    <n v="170"/>
  </r>
  <r>
    <d v="2013-06-13T00:00:00"/>
    <n v="13"/>
    <x v="5"/>
    <n v="5"/>
    <x v="2"/>
    <x v="2"/>
    <n v="208"/>
  </r>
  <r>
    <d v="2013-06-14T00:00:00"/>
    <n v="14"/>
    <x v="5"/>
    <n v="6"/>
    <x v="2"/>
    <x v="3"/>
    <n v="179"/>
  </r>
  <r>
    <d v="2013-06-15T00:00:00"/>
    <n v="15"/>
    <x v="5"/>
    <n v="7"/>
    <x v="2"/>
    <x v="4"/>
    <n v="209"/>
  </r>
  <r>
    <d v="2013-06-16T00:00:00"/>
    <n v="16"/>
    <x v="5"/>
    <n v="1"/>
    <x v="3"/>
    <x v="5"/>
    <n v="182"/>
  </r>
  <r>
    <d v="2013-06-17T00:00:00"/>
    <n v="17"/>
    <x v="5"/>
    <n v="2"/>
    <x v="3"/>
    <x v="6"/>
    <n v="171"/>
  </r>
  <r>
    <d v="2013-06-18T00:00:00"/>
    <n v="18"/>
    <x v="5"/>
    <n v="3"/>
    <x v="3"/>
    <x v="0"/>
    <n v="211"/>
  </r>
  <r>
    <d v="2013-06-19T00:00:00"/>
    <n v="19"/>
    <x v="5"/>
    <n v="4"/>
    <x v="3"/>
    <x v="1"/>
    <n v="204"/>
  </r>
  <r>
    <d v="2013-06-20T00:00:00"/>
    <n v="20"/>
    <x v="5"/>
    <n v="5"/>
    <x v="3"/>
    <x v="2"/>
    <n v="231"/>
  </r>
  <r>
    <d v="2013-06-21T00:00:00"/>
    <n v="21"/>
    <x v="5"/>
    <n v="6"/>
    <x v="3"/>
    <x v="3"/>
    <n v="171"/>
  </r>
  <r>
    <d v="2013-06-22T00:00:00"/>
    <n v="22"/>
    <x v="5"/>
    <n v="7"/>
    <x v="3"/>
    <x v="4"/>
    <n v="199"/>
  </r>
  <r>
    <d v="2013-06-23T00:00:00"/>
    <n v="23"/>
    <x v="5"/>
    <n v="1"/>
    <x v="4"/>
    <x v="5"/>
    <n v="219"/>
  </r>
  <r>
    <d v="2013-06-24T00:00:00"/>
    <n v="24"/>
    <x v="5"/>
    <n v="2"/>
    <x v="4"/>
    <x v="6"/>
    <n v="205"/>
  </r>
  <r>
    <d v="2013-06-25T00:00:00"/>
    <n v="25"/>
    <x v="5"/>
    <n v="3"/>
    <x v="4"/>
    <x v="0"/>
    <n v="207"/>
  </r>
  <r>
    <d v="2013-06-26T00:00:00"/>
    <n v="26"/>
    <x v="5"/>
    <n v="4"/>
    <x v="4"/>
    <x v="1"/>
    <n v="199"/>
  </r>
  <r>
    <d v="2013-06-27T00:00:00"/>
    <n v="27"/>
    <x v="5"/>
    <n v="5"/>
    <x v="4"/>
    <x v="2"/>
    <n v="231"/>
  </r>
  <r>
    <d v="2013-06-28T00:00:00"/>
    <n v="28"/>
    <x v="5"/>
    <n v="6"/>
    <x v="4"/>
    <x v="3"/>
    <n v="182"/>
  </r>
  <r>
    <d v="2013-06-29T00:00:00"/>
    <n v="29"/>
    <x v="5"/>
    <n v="7"/>
    <x v="4"/>
    <x v="4"/>
    <n v="187"/>
  </r>
  <r>
    <d v="2013-06-30T00:00:00"/>
    <n v="30"/>
    <x v="5"/>
    <n v="1"/>
    <x v="5"/>
    <x v="5"/>
    <n v="185"/>
  </r>
  <r>
    <d v="2013-07-01T00:00:00"/>
    <n v="1"/>
    <x v="6"/>
    <n v="2"/>
    <x v="0"/>
    <x v="6"/>
    <n v="213"/>
  </r>
  <r>
    <d v="2013-07-02T00:00:00"/>
    <n v="2"/>
    <x v="6"/>
    <n v="3"/>
    <x v="0"/>
    <x v="0"/>
    <n v="232"/>
  </r>
  <r>
    <d v="2013-07-03T00:00:00"/>
    <n v="3"/>
    <x v="6"/>
    <n v="4"/>
    <x v="0"/>
    <x v="1"/>
    <n v="171"/>
  </r>
  <r>
    <d v="2013-07-04T00:00:00"/>
    <n v="4"/>
    <x v="6"/>
    <n v="5"/>
    <x v="0"/>
    <x v="2"/>
    <n v="222"/>
  </r>
  <r>
    <d v="2013-07-05T00:00:00"/>
    <n v="5"/>
    <x v="6"/>
    <n v="6"/>
    <x v="0"/>
    <x v="3"/>
    <n v="200"/>
  </r>
  <r>
    <d v="2013-07-06T00:00:00"/>
    <n v="6"/>
    <x v="6"/>
    <n v="7"/>
    <x v="0"/>
    <x v="4"/>
    <n v="178"/>
  </r>
  <r>
    <d v="2013-07-07T00:00:00"/>
    <n v="7"/>
    <x v="6"/>
    <n v="1"/>
    <x v="1"/>
    <x v="5"/>
    <n v="185"/>
  </r>
  <r>
    <d v="2013-07-08T00:00:00"/>
    <n v="8"/>
    <x v="6"/>
    <n v="2"/>
    <x v="1"/>
    <x v="6"/>
    <n v="197"/>
  </r>
  <r>
    <d v="2013-07-09T00:00:00"/>
    <n v="9"/>
    <x v="6"/>
    <n v="3"/>
    <x v="1"/>
    <x v="0"/>
    <n v="171"/>
  </r>
  <r>
    <d v="2013-07-10T00:00:00"/>
    <n v="10"/>
    <x v="6"/>
    <n v="4"/>
    <x v="1"/>
    <x v="1"/>
    <n v="191"/>
  </r>
  <r>
    <d v="2013-07-11T00:00:00"/>
    <n v="11"/>
    <x v="6"/>
    <n v="5"/>
    <x v="1"/>
    <x v="2"/>
    <n v="207"/>
  </r>
  <r>
    <d v="2013-07-12T00:00:00"/>
    <n v="12"/>
    <x v="6"/>
    <n v="6"/>
    <x v="1"/>
    <x v="3"/>
    <n v="228"/>
  </r>
  <r>
    <d v="2013-07-13T00:00:00"/>
    <n v="13"/>
    <x v="6"/>
    <n v="7"/>
    <x v="1"/>
    <x v="4"/>
    <n v="197"/>
  </r>
  <r>
    <d v="2013-07-14T00:00:00"/>
    <n v="14"/>
    <x v="6"/>
    <n v="1"/>
    <x v="2"/>
    <x v="5"/>
    <n v="190"/>
  </r>
  <r>
    <d v="2013-07-15T00:00:00"/>
    <n v="15"/>
    <x v="6"/>
    <n v="2"/>
    <x v="2"/>
    <x v="6"/>
    <n v="183"/>
  </r>
  <r>
    <d v="2013-07-16T00:00:00"/>
    <n v="16"/>
    <x v="6"/>
    <n v="3"/>
    <x v="2"/>
    <x v="0"/>
    <n v="204"/>
  </r>
  <r>
    <d v="2013-07-17T00:00:00"/>
    <n v="17"/>
    <x v="6"/>
    <n v="4"/>
    <x v="2"/>
    <x v="1"/>
    <n v="181"/>
  </r>
  <r>
    <d v="2013-07-18T00:00:00"/>
    <n v="18"/>
    <x v="6"/>
    <n v="5"/>
    <x v="2"/>
    <x v="2"/>
    <n v="173"/>
  </r>
  <r>
    <d v="2013-07-19T00:00:00"/>
    <n v="19"/>
    <x v="6"/>
    <n v="6"/>
    <x v="2"/>
    <x v="3"/>
    <n v="219"/>
  </r>
  <r>
    <d v="2013-07-20T00:00:00"/>
    <n v="20"/>
    <x v="6"/>
    <n v="7"/>
    <x v="2"/>
    <x v="4"/>
    <n v="192"/>
  </r>
  <r>
    <d v="2013-07-21T00:00:00"/>
    <n v="21"/>
    <x v="6"/>
    <n v="1"/>
    <x v="3"/>
    <x v="5"/>
    <n v="189"/>
  </r>
  <r>
    <d v="2013-07-22T00:00:00"/>
    <n v="22"/>
    <x v="6"/>
    <n v="2"/>
    <x v="3"/>
    <x v="6"/>
    <n v="209"/>
  </r>
  <r>
    <d v="2013-07-23T00:00:00"/>
    <n v="23"/>
    <x v="6"/>
    <n v="3"/>
    <x v="3"/>
    <x v="0"/>
    <n v="188"/>
  </r>
  <r>
    <d v="2013-07-24T00:00:00"/>
    <n v="24"/>
    <x v="6"/>
    <n v="4"/>
    <x v="3"/>
    <x v="1"/>
    <n v="199"/>
  </r>
  <r>
    <d v="2013-07-25T00:00:00"/>
    <n v="25"/>
    <x v="6"/>
    <n v="5"/>
    <x v="3"/>
    <x v="2"/>
    <n v="214"/>
  </r>
  <r>
    <d v="2013-07-26T00:00:00"/>
    <n v="26"/>
    <x v="6"/>
    <n v="6"/>
    <x v="3"/>
    <x v="3"/>
    <n v="230"/>
  </r>
  <r>
    <d v="2013-07-27T00:00:00"/>
    <n v="27"/>
    <x v="6"/>
    <n v="7"/>
    <x v="3"/>
    <x v="4"/>
    <n v="220"/>
  </r>
  <r>
    <d v="2013-07-28T00:00:00"/>
    <n v="28"/>
    <x v="6"/>
    <n v="1"/>
    <x v="4"/>
    <x v="5"/>
    <n v="188"/>
  </r>
  <r>
    <d v="2013-07-29T00:00:00"/>
    <n v="29"/>
    <x v="6"/>
    <n v="2"/>
    <x v="4"/>
    <x v="6"/>
    <n v="169"/>
  </r>
  <r>
    <d v="2013-07-30T00:00:00"/>
    <n v="30"/>
    <x v="6"/>
    <n v="3"/>
    <x v="4"/>
    <x v="0"/>
    <n v="210"/>
  </r>
  <r>
    <d v="2013-07-31T00:00:00"/>
    <n v="31"/>
    <x v="6"/>
    <n v="4"/>
    <x v="4"/>
    <x v="1"/>
    <n v="192"/>
  </r>
  <r>
    <d v="2013-08-01T00:00:00"/>
    <n v="1"/>
    <x v="7"/>
    <n v="5"/>
    <x v="0"/>
    <x v="2"/>
    <n v="196"/>
  </r>
  <r>
    <d v="2013-08-02T00:00:00"/>
    <n v="2"/>
    <x v="7"/>
    <n v="6"/>
    <x v="0"/>
    <x v="3"/>
    <n v="220"/>
  </r>
  <r>
    <d v="2013-08-03T00:00:00"/>
    <n v="3"/>
    <x v="7"/>
    <n v="7"/>
    <x v="0"/>
    <x v="4"/>
    <n v="225"/>
  </r>
  <r>
    <d v="2013-08-04T00:00:00"/>
    <n v="4"/>
    <x v="7"/>
    <n v="1"/>
    <x v="1"/>
    <x v="5"/>
    <n v="226"/>
  </r>
  <r>
    <d v="2013-08-05T00:00:00"/>
    <n v="5"/>
    <x v="7"/>
    <n v="2"/>
    <x v="1"/>
    <x v="6"/>
    <n v="178"/>
  </r>
  <r>
    <d v="2013-08-06T00:00:00"/>
    <n v="6"/>
    <x v="7"/>
    <n v="3"/>
    <x v="1"/>
    <x v="0"/>
    <n v="179"/>
  </r>
  <r>
    <d v="2013-08-07T00:00:00"/>
    <n v="7"/>
    <x v="7"/>
    <n v="4"/>
    <x v="1"/>
    <x v="1"/>
    <n v="204"/>
  </r>
  <r>
    <d v="2013-08-08T00:00:00"/>
    <n v="8"/>
    <x v="7"/>
    <n v="5"/>
    <x v="1"/>
    <x v="2"/>
    <n v="202"/>
  </r>
  <r>
    <d v="2013-08-09T00:00:00"/>
    <n v="9"/>
    <x v="7"/>
    <n v="6"/>
    <x v="1"/>
    <x v="3"/>
    <n v="211"/>
  </r>
  <r>
    <d v="2013-08-10T00:00:00"/>
    <n v="10"/>
    <x v="7"/>
    <n v="7"/>
    <x v="1"/>
    <x v="4"/>
    <n v="224"/>
  </r>
  <r>
    <d v="2013-08-11T00:00:00"/>
    <n v="11"/>
    <x v="7"/>
    <n v="1"/>
    <x v="2"/>
    <x v="5"/>
    <n v="225"/>
  </r>
  <r>
    <d v="2013-08-12T00:00:00"/>
    <n v="12"/>
    <x v="7"/>
    <n v="2"/>
    <x v="2"/>
    <x v="6"/>
    <n v="169"/>
  </r>
  <r>
    <d v="2013-08-13T00:00:00"/>
    <n v="13"/>
    <x v="7"/>
    <n v="3"/>
    <x v="2"/>
    <x v="0"/>
    <n v="231"/>
  </r>
  <r>
    <d v="2013-08-14T00:00:00"/>
    <n v="14"/>
    <x v="7"/>
    <n v="4"/>
    <x v="2"/>
    <x v="1"/>
    <n v="191"/>
  </r>
  <r>
    <d v="2013-08-15T00:00:00"/>
    <n v="15"/>
    <x v="7"/>
    <n v="5"/>
    <x v="2"/>
    <x v="2"/>
    <n v="203"/>
  </r>
  <r>
    <d v="2013-08-16T00:00:00"/>
    <n v="16"/>
    <x v="7"/>
    <n v="6"/>
    <x v="2"/>
    <x v="3"/>
    <n v="219"/>
  </r>
  <r>
    <d v="2013-08-17T00:00:00"/>
    <n v="17"/>
    <x v="7"/>
    <n v="7"/>
    <x v="2"/>
    <x v="4"/>
    <n v="200"/>
  </r>
  <r>
    <d v="2013-08-18T00:00:00"/>
    <n v="18"/>
    <x v="7"/>
    <n v="1"/>
    <x v="3"/>
    <x v="5"/>
    <n v="188"/>
  </r>
  <r>
    <d v="2013-08-19T00:00:00"/>
    <n v="19"/>
    <x v="7"/>
    <n v="2"/>
    <x v="3"/>
    <x v="6"/>
    <n v="226"/>
  </r>
  <r>
    <d v="2013-08-20T00:00:00"/>
    <n v="20"/>
    <x v="7"/>
    <n v="3"/>
    <x v="3"/>
    <x v="0"/>
    <n v="228"/>
  </r>
  <r>
    <d v="2013-08-21T00:00:00"/>
    <n v="21"/>
    <x v="7"/>
    <n v="4"/>
    <x v="3"/>
    <x v="1"/>
    <n v="193"/>
  </r>
  <r>
    <d v="2013-08-22T00:00:00"/>
    <n v="22"/>
    <x v="7"/>
    <n v="5"/>
    <x v="3"/>
    <x v="2"/>
    <n v="184"/>
  </r>
  <r>
    <d v="2013-08-23T00:00:00"/>
    <n v="23"/>
    <x v="7"/>
    <n v="6"/>
    <x v="3"/>
    <x v="3"/>
    <n v="225"/>
  </r>
  <r>
    <d v="2013-08-24T00:00:00"/>
    <n v="24"/>
    <x v="7"/>
    <n v="7"/>
    <x v="3"/>
    <x v="4"/>
    <n v="184"/>
  </r>
  <r>
    <d v="2013-08-25T00:00:00"/>
    <n v="25"/>
    <x v="7"/>
    <n v="1"/>
    <x v="4"/>
    <x v="5"/>
    <n v="220"/>
  </r>
  <r>
    <d v="2013-08-26T00:00:00"/>
    <n v="26"/>
    <x v="7"/>
    <n v="2"/>
    <x v="4"/>
    <x v="6"/>
    <n v="212"/>
  </r>
  <r>
    <d v="2013-08-27T00:00:00"/>
    <n v="27"/>
    <x v="7"/>
    <n v="3"/>
    <x v="4"/>
    <x v="0"/>
    <n v="176"/>
  </r>
  <r>
    <d v="2013-08-28T00:00:00"/>
    <n v="28"/>
    <x v="7"/>
    <n v="4"/>
    <x v="4"/>
    <x v="1"/>
    <n v="195"/>
  </r>
  <r>
    <d v="2013-08-29T00:00:00"/>
    <n v="29"/>
    <x v="7"/>
    <n v="5"/>
    <x v="4"/>
    <x v="2"/>
    <n v="222"/>
  </r>
  <r>
    <d v="2013-08-30T00:00:00"/>
    <n v="30"/>
    <x v="7"/>
    <n v="6"/>
    <x v="4"/>
    <x v="3"/>
    <n v="191"/>
  </r>
  <r>
    <d v="2013-08-31T00:00:00"/>
    <n v="31"/>
    <x v="7"/>
    <n v="7"/>
    <x v="4"/>
    <x v="4"/>
    <n v="183"/>
  </r>
  <r>
    <d v="2013-09-01T00:00:00"/>
    <n v="1"/>
    <x v="8"/>
    <n v="1"/>
    <x v="0"/>
    <x v="5"/>
    <n v="177"/>
  </r>
  <r>
    <d v="2013-09-02T00:00:00"/>
    <n v="2"/>
    <x v="8"/>
    <n v="2"/>
    <x v="0"/>
    <x v="6"/>
    <n v="196"/>
  </r>
  <r>
    <d v="2013-09-03T00:00:00"/>
    <n v="3"/>
    <x v="8"/>
    <n v="3"/>
    <x v="0"/>
    <x v="0"/>
    <n v="209"/>
  </r>
  <r>
    <d v="2013-09-04T00:00:00"/>
    <n v="4"/>
    <x v="8"/>
    <n v="4"/>
    <x v="0"/>
    <x v="1"/>
    <n v="234"/>
  </r>
  <r>
    <d v="2013-09-05T00:00:00"/>
    <n v="5"/>
    <x v="8"/>
    <n v="5"/>
    <x v="0"/>
    <x v="2"/>
    <n v="197"/>
  </r>
  <r>
    <d v="2013-09-06T00:00:00"/>
    <n v="6"/>
    <x v="8"/>
    <n v="6"/>
    <x v="0"/>
    <x v="3"/>
    <n v="170"/>
  </r>
  <r>
    <d v="2013-09-07T00:00:00"/>
    <n v="7"/>
    <x v="8"/>
    <n v="7"/>
    <x v="0"/>
    <x v="4"/>
    <n v="221"/>
  </r>
  <r>
    <d v="2013-09-08T00:00:00"/>
    <n v="8"/>
    <x v="8"/>
    <n v="1"/>
    <x v="1"/>
    <x v="5"/>
    <n v="180"/>
  </r>
  <r>
    <d v="2013-09-09T00:00:00"/>
    <n v="9"/>
    <x v="8"/>
    <n v="2"/>
    <x v="1"/>
    <x v="6"/>
    <n v="226"/>
  </r>
  <r>
    <d v="2013-09-10T00:00:00"/>
    <n v="10"/>
    <x v="8"/>
    <n v="3"/>
    <x v="1"/>
    <x v="0"/>
    <n v="224"/>
  </r>
  <r>
    <d v="2013-09-11T00:00:00"/>
    <n v="11"/>
    <x v="8"/>
    <n v="4"/>
    <x v="1"/>
    <x v="1"/>
    <n v="209"/>
  </r>
  <r>
    <d v="2013-09-12T00:00:00"/>
    <n v="12"/>
    <x v="8"/>
    <n v="5"/>
    <x v="1"/>
    <x v="2"/>
    <n v="188"/>
  </r>
  <r>
    <d v="2013-09-13T00:00:00"/>
    <n v="13"/>
    <x v="8"/>
    <n v="6"/>
    <x v="1"/>
    <x v="3"/>
    <n v="170"/>
  </r>
  <r>
    <d v="2013-09-14T00:00:00"/>
    <n v="14"/>
    <x v="8"/>
    <n v="7"/>
    <x v="1"/>
    <x v="4"/>
    <n v="185"/>
  </r>
  <r>
    <d v="2013-09-15T00:00:00"/>
    <n v="15"/>
    <x v="8"/>
    <n v="1"/>
    <x v="2"/>
    <x v="5"/>
    <n v="181"/>
  </r>
  <r>
    <d v="2013-09-16T00:00:00"/>
    <n v="16"/>
    <x v="8"/>
    <n v="2"/>
    <x v="2"/>
    <x v="6"/>
    <n v="196"/>
  </r>
  <r>
    <d v="2013-09-17T00:00:00"/>
    <n v="17"/>
    <x v="8"/>
    <n v="3"/>
    <x v="2"/>
    <x v="0"/>
    <n v="218"/>
  </r>
  <r>
    <d v="2013-09-18T00:00:00"/>
    <n v="18"/>
    <x v="8"/>
    <n v="4"/>
    <x v="2"/>
    <x v="1"/>
    <n v="224"/>
  </r>
  <r>
    <d v="2013-09-19T00:00:00"/>
    <n v="19"/>
    <x v="8"/>
    <n v="5"/>
    <x v="2"/>
    <x v="2"/>
    <n v="220"/>
  </r>
  <r>
    <d v="2013-09-20T00:00:00"/>
    <n v="20"/>
    <x v="8"/>
    <n v="6"/>
    <x v="2"/>
    <x v="3"/>
    <n v="229"/>
  </r>
  <r>
    <d v="2013-09-21T00:00:00"/>
    <n v="21"/>
    <x v="8"/>
    <n v="7"/>
    <x v="2"/>
    <x v="4"/>
    <n v="168"/>
  </r>
  <r>
    <d v="2013-09-22T00:00:00"/>
    <n v="22"/>
    <x v="8"/>
    <n v="1"/>
    <x v="3"/>
    <x v="5"/>
    <n v="219"/>
  </r>
  <r>
    <d v="2013-09-23T00:00:00"/>
    <n v="23"/>
    <x v="8"/>
    <n v="2"/>
    <x v="3"/>
    <x v="6"/>
    <n v="219"/>
  </r>
  <r>
    <d v="2013-09-24T00:00:00"/>
    <n v="24"/>
    <x v="8"/>
    <n v="3"/>
    <x v="3"/>
    <x v="0"/>
    <n v="167"/>
  </r>
  <r>
    <d v="2013-09-25T00:00:00"/>
    <n v="25"/>
    <x v="8"/>
    <n v="4"/>
    <x v="3"/>
    <x v="1"/>
    <n v="211"/>
  </r>
  <r>
    <d v="2013-09-26T00:00:00"/>
    <n v="26"/>
    <x v="8"/>
    <n v="5"/>
    <x v="3"/>
    <x v="2"/>
    <n v="184"/>
  </r>
  <r>
    <d v="2013-09-27T00:00:00"/>
    <n v="27"/>
    <x v="8"/>
    <n v="6"/>
    <x v="3"/>
    <x v="3"/>
    <n v="229"/>
  </r>
  <r>
    <d v="2013-09-28T00:00:00"/>
    <n v="28"/>
    <x v="8"/>
    <n v="7"/>
    <x v="3"/>
    <x v="4"/>
    <n v="198"/>
  </r>
  <r>
    <d v="2013-09-29T00:00:00"/>
    <n v="29"/>
    <x v="8"/>
    <n v="1"/>
    <x v="4"/>
    <x v="5"/>
    <n v="230"/>
  </r>
  <r>
    <d v="2013-09-30T00:00:00"/>
    <n v="30"/>
    <x v="8"/>
    <n v="2"/>
    <x v="4"/>
    <x v="6"/>
    <n v="171"/>
  </r>
  <r>
    <d v="2013-10-01T00:00:00"/>
    <n v="1"/>
    <x v="9"/>
    <n v="3"/>
    <x v="0"/>
    <x v="0"/>
    <n v="215"/>
  </r>
  <r>
    <d v="2013-10-02T00:00:00"/>
    <n v="2"/>
    <x v="9"/>
    <n v="4"/>
    <x v="0"/>
    <x v="1"/>
    <n v="178"/>
  </r>
  <r>
    <d v="2013-10-03T00:00:00"/>
    <n v="3"/>
    <x v="9"/>
    <n v="5"/>
    <x v="0"/>
    <x v="2"/>
    <n v="220"/>
  </r>
  <r>
    <d v="2013-10-04T00:00:00"/>
    <n v="4"/>
    <x v="9"/>
    <n v="6"/>
    <x v="0"/>
    <x v="3"/>
    <n v="195"/>
  </r>
  <r>
    <d v="2013-10-05T00:00:00"/>
    <n v="5"/>
    <x v="9"/>
    <n v="7"/>
    <x v="0"/>
    <x v="4"/>
    <n v="200"/>
  </r>
  <r>
    <d v="2013-10-06T00:00:00"/>
    <n v="6"/>
    <x v="9"/>
    <n v="1"/>
    <x v="1"/>
    <x v="5"/>
    <n v="170"/>
  </r>
  <r>
    <d v="2013-10-07T00:00:00"/>
    <n v="7"/>
    <x v="9"/>
    <n v="2"/>
    <x v="1"/>
    <x v="6"/>
    <n v="211"/>
  </r>
  <r>
    <d v="2013-10-08T00:00:00"/>
    <n v="8"/>
    <x v="9"/>
    <n v="3"/>
    <x v="1"/>
    <x v="0"/>
    <n v="172"/>
  </r>
  <r>
    <d v="2013-10-09T00:00:00"/>
    <n v="9"/>
    <x v="9"/>
    <n v="4"/>
    <x v="1"/>
    <x v="1"/>
    <n v="207"/>
  </r>
  <r>
    <d v="2013-10-10T00:00:00"/>
    <n v="10"/>
    <x v="9"/>
    <n v="5"/>
    <x v="1"/>
    <x v="2"/>
    <n v="200"/>
  </r>
  <r>
    <d v="2013-10-11T00:00:00"/>
    <n v="11"/>
    <x v="9"/>
    <n v="6"/>
    <x v="1"/>
    <x v="3"/>
    <n v="181"/>
  </r>
  <r>
    <d v="2013-10-12T00:00:00"/>
    <n v="12"/>
    <x v="9"/>
    <n v="7"/>
    <x v="1"/>
    <x v="4"/>
    <n v="234"/>
  </r>
  <r>
    <d v="2013-10-13T00:00:00"/>
    <n v="13"/>
    <x v="9"/>
    <n v="1"/>
    <x v="2"/>
    <x v="5"/>
    <n v="190"/>
  </r>
  <r>
    <d v="2013-10-14T00:00:00"/>
    <n v="14"/>
    <x v="9"/>
    <n v="2"/>
    <x v="2"/>
    <x v="6"/>
    <n v="233"/>
  </r>
  <r>
    <d v="2013-10-15T00:00:00"/>
    <n v="15"/>
    <x v="9"/>
    <n v="3"/>
    <x v="2"/>
    <x v="0"/>
    <n v="230"/>
  </r>
  <r>
    <d v="2013-10-16T00:00:00"/>
    <n v="16"/>
    <x v="9"/>
    <n v="4"/>
    <x v="2"/>
    <x v="1"/>
    <n v="212"/>
  </r>
  <r>
    <d v="2013-10-17T00:00:00"/>
    <n v="17"/>
    <x v="9"/>
    <n v="5"/>
    <x v="2"/>
    <x v="2"/>
    <n v="172"/>
  </r>
  <r>
    <d v="2013-10-18T00:00:00"/>
    <n v="18"/>
    <x v="9"/>
    <n v="6"/>
    <x v="2"/>
    <x v="3"/>
    <n v="234"/>
  </r>
  <r>
    <d v="2013-10-19T00:00:00"/>
    <n v="19"/>
    <x v="9"/>
    <n v="7"/>
    <x v="2"/>
    <x v="4"/>
    <n v="229"/>
  </r>
  <r>
    <d v="2013-10-20T00:00:00"/>
    <n v="20"/>
    <x v="9"/>
    <n v="1"/>
    <x v="3"/>
    <x v="5"/>
    <n v="206"/>
  </r>
  <r>
    <d v="2013-10-21T00:00:00"/>
    <n v="21"/>
    <x v="9"/>
    <n v="2"/>
    <x v="3"/>
    <x v="6"/>
    <n v="184"/>
  </r>
  <r>
    <d v="2013-10-22T00:00:00"/>
    <n v="22"/>
    <x v="9"/>
    <n v="3"/>
    <x v="3"/>
    <x v="0"/>
    <n v="198"/>
  </r>
  <r>
    <d v="2013-10-23T00:00:00"/>
    <n v="23"/>
    <x v="9"/>
    <n v="4"/>
    <x v="3"/>
    <x v="1"/>
    <n v="228"/>
  </r>
  <r>
    <d v="2013-10-24T00:00:00"/>
    <n v="24"/>
    <x v="9"/>
    <n v="5"/>
    <x v="3"/>
    <x v="2"/>
    <n v="221"/>
  </r>
  <r>
    <d v="2013-10-25T00:00:00"/>
    <n v="25"/>
    <x v="9"/>
    <n v="6"/>
    <x v="3"/>
    <x v="3"/>
    <n v="232"/>
  </r>
  <r>
    <d v="2013-10-26T00:00:00"/>
    <n v="26"/>
    <x v="9"/>
    <n v="7"/>
    <x v="3"/>
    <x v="4"/>
    <n v="223"/>
  </r>
  <r>
    <d v="2013-10-27T00:00:00"/>
    <n v="27"/>
    <x v="9"/>
    <n v="1"/>
    <x v="4"/>
    <x v="5"/>
    <n v="176"/>
  </r>
  <r>
    <d v="2013-10-28T00:00:00"/>
    <n v="28"/>
    <x v="9"/>
    <n v="2"/>
    <x v="4"/>
    <x v="6"/>
    <n v="167"/>
  </r>
  <r>
    <d v="2013-10-29T00:00:00"/>
    <n v="29"/>
    <x v="9"/>
    <n v="3"/>
    <x v="4"/>
    <x v="0"/>
    <n v="228"/>
  </r>
  <r>
    <d v="2013-10-30T00:00:00"/>
    <n v="30"/>
    <x v="9"/>
    <n v="4"/>
    <x v="4"/>
    <x v="1"/>
    <n v="173"/>
  </r>
  <r>
    <d v="2013-10-31T00:00:00"/>
    <n v="31"/>
    <x v="9"/>
    <n v="5"/>
    <x v="4"/>
    <x v="2"/>
    <n v="198"/>
  </r>
  <r>
    <d v="2013-11-01T00:00:00"/>
    <n v="1"/>
    <x v="10"/>
    <n v="6"/>
    <x v="0"/>
    <x v="3"/>
    <n v="203"/>
  </r>
  <r>
    <d v="2013-11-02T00:00:00"/>
    <n v="2"/>
    <x v="10"/>
    <n v="7"/>
    <x v="0"/>
    <x v="4"/>
    <n v="167"/>
  </r>
  <r>
    <d v="2013-11-03T00:00:00"/>
    <n v="3"/>
    <x v="10"/>
    <n v="1"/>
    <x v="1"/>
    <x v="5"/>
    <n v="200"/>
  </r>
  <r>
    <d v="2013-11-04T00:00:00"/>
    <n v="4"/>
    <x v="10"/>
    <n v="2"/>
    <x v="1"/>
    <x v="6"/>
    <n v="188"/>
  </r>
  <r>
    <d v="2013-11-05T00:00:00"/>
    <n v="5"/>
    <x v="10"/>
    <n v="3"/>
    <x v="1"/>
    <x v="0"/>
    <n v="179"/>
  </r>
  <r>
    <d v="2013-11-06T00:00:00"/>
    <n v="6"/>
    <x v="10"/>
    <n v="4"/>
    <x v="1"/>
    <x v="1"/>
    <n v="166"/>
  </r>
  <r>
    <d v="2013-11-07T00:00:00"/>
    <n v="7"/>
    <x v="10"/>
    <n v="5"/>
    <x v="1"/>
    <x v="2"/>
    <n v="214"/>
  </r>
  <r>
    <d v="2013-11-08T00:00:00"/>
    <n v="8"/>
    <x v="10"/>
    <n v="6"/>
    <x v="1"/>
    <x v="3"/>
    <n v="229"/>
  </r>
  <r>
    <d v="2013-11-09T00:00:00"/>
    <n v="9"/>
    <x v="10"/>
    <n v="7"/>
    <x v="1"/>
    <x v="4"/>
    <n v="180"/>
  </r>
  <r>
    <d v="2013-11-10T00:00:00"/>
    <n v="10"/>
    <x v="10"/>
    <n v="1"/>
    <x v="2"/>
    <x v="5"/>
    <n v="222"/>
  </r>
  <r>
    <d v="2013-11-11T00:00:00"/>
    <n v="11"/>
    <x v="10"/>
    <n v="2"/>
    <x v="2"/>
    <x v="6"/>
    <n v="215"/>
  </r>
  <r>
    <d v="2013-11-12T00:00:00"/>
    <n v="12"/>
    <x v="10"/>
    <n v="3"/>
    <x v="2"/>
    <x v="0"/>
    <n v="191"/>
  </r>
  <r>
    <d v="2013-11-13T00:00:00"/>
    <n v="13"/>
    <x v="10"/>
    <n v="4"/>
    <x v="2"/>
    <x v="1"/>
    <n v="182"/>
  </r>
  <r>
    <d v="2013-11-14T00:00:00"/>
    <n v="14"/>
    <x v="10"/>
    <n v="5"/>
    <x v="2"/>
    <x v="2"/>
    <n v="177"/>
  </r>
  <r>
    <d v="2013-11-15T00:00:00"/>
    <n v="15"/>
    <x v="10"/>
    <n v="6"/>
    <x v="2"/>
    <x v="3"/>
    <n v="234"/>
  </r>
  <r>
    <d v="2013-11-16T00:00:00"/>
    <n v="16"/>
    <x v="10"/>
    <n v="7"/>
    <x v="2"/>
    <x v="4"/>
    <n v="167"/>
  </r>
  <r>
    <d v="2013-11-17T00:00:00"/>
    <n v="17"/>
    <x v="10"/>
    <n v="1"/>
    <x v="3"/>
    <x v="5"/>
    <n v="215"/>
  </r>
  <r>
    <d v="2013-11-18T00:00:00"/>
    <n v="18"/>
    <x v="10"/>
    <n v="2"/>
    <x v="3"/>
    <x v="6"/>
    <n v="167"/>
  </r>
  <r>
    <d v="2013-11-19T00:00:00"/>
    <n v="19"/>
    <x v="10"/>
    <n v="3"/>
    <x v="3"/>
    <x v="0"/>
    <n v="219"/>
  </r>
  <r>
    <d v="2013-11-20T00:00:00"/>
    <n v="20"/>
    <x v="10"/>
    <n v="4"/>
    <x v="3"/>
    <x v="1"/>
    <n v="167"/>
  </r>
  <r>
    <d v="2013-11-21T00:00:00"/>
    <n v="21"/>
    <x v="10"/>
    <n v="5"/>
    <x v="3"/>
    <x v="2"/>
    <n v="169"/>
  </r>
  <r>
    <d v="2013-11-22T00:00:00"/>
    <n v="22"/>
    <x v="10"/>
    <n v="6"/>
    <x v="3"/>
    <x v="3"/>
    <n v="190"/>
  </r>
  <r>
    <d v="2013-11-23T00:00:00"/>
    <n v="23"/>
    <x v="10"/>
    <n v="7"/>
    <x v="3"/>
    <x v="4"/>
    <n v="188"/>
  </r>
  <r>
    <d v="2013-11-24T00:00:00"/>
    <n v="24"/>
    <x v="10"/>
    <n v="1"/>
    <x v="4"/>
    <x v="5"/>
    <n v="221"/>
  </r>
  <r>
    <d v="2013-11-25T00:00:00"/>
    <n v="25"/>
    <x v="10"/>
    <n v="2"/>
    <x v="4"/>
    <x v="6"/>
    <n v="226"/>
  </r>
  <r>
    <d v="2013-11-26T00:00:00"/>
    <n v="26"/>
    <x v="10"/>
    <n v="3"/>
    <x v="4"/>
    <x v="0"/>
    <n v="184"/>
  </r>
  <r>
    <d v="2013-11-27T00:00:00"/>
    <n v="27"/>
    <x v="10"/>
    <n v="4"/>
    <x v="4"/>
    <x v="1"/>
    <n v="230"/>
  </r>
  <r>
    <d v="2013-11-28T00:00:00"/>
    <n v="28"/>
    <x v="10"/>
    <n v="5"/>
    <x v="4"/>
    <x v="2"/>
    <n v="206"/>
  </r>
  <r>
    <d v="2013-11-29T00:00:00"/>
    <n v="29"/>
    <x v="10"/>
    <n v="6"/>
    <x v="4"/>
    <x v="3"/>
    <n v="187"/>
  </r>
  <r>
    <d v="2013-11-30T00:00:00"/>
    <n v="30"/>
    <x v="10"/>
    <n v="7"/>
    <x v="4"/>
    <x v="4"/>
    <n v="219"/>
  </r>
  <r>
    <d v="2013-12-01T00:00:00"/>
    <n v="1"/>
    <x v="11"/>
    <n v="1"/>
    <x v="0"/>
    <x v="5"/>
    <n v="234"/>
  </r>
  <r>
    <d v="2013-12-02T00:00:00"/>
    <n v="2"/>
    <x v="11"/>
    <n v="2"/>
    <x v="0"/>
    <x v="6"/>
    <n v="184"/>
  </r>
  <r>
    <d v="2013-12-03T00:00:00"/>
    <n v="3"/>
    <x v="11"/>
    <n v="3"/>
    <x v="0"/>
    <x v="0"/>
    <n v="207"/>
  </r>
  <r>
    <d v="2013-12-04T00:00:00"/>
    <n v="4"/>
    <x v="11"/>
    <n v="4"/>
    <x v="0"/>
    <x v="1"/>
    <n v="176"/>
  </r>
  <r>
    <d v="2013-12-05T00:00:00"/>
    <n v="5"/>
    <x v="11"/>
    <n v="5"/>
    <x v="0"/>
    <x v="2"/>
    <n v="223"/>
  </r>
  <r>
    <d v="2013-12-06T00:00:00"/>
    <n v="6"/>
    <x v="11"/>
    <n v="6"/>
    <x v="0"/>
    <x v="3"/>
    <n v="224"/>
  </r>
  <r>
    <d v="2013-12-07T00:00:00"/>
    <n v="7"/>
    <x v="11"/>
    <n v="7"/>
    <x v="0"/>
    <x v="4"/>
    <n v="215"/>
  </r>
  <r>
    <d v="2013-12-08T00:00:00"/>
    <n v="8"/>
    <x v="11"/>
    <n v="1"/>
    <x v="1"/>
    <x v="5"/>
    <n v="227"/>
  </r>
  <r>
    <d v="2013-12-09T00:00:00"/>
    <n v="9"/>
    <x v="11"/>
    <n v="2"/>
    <x v="1"/>
    <x v="6"/>
    <n v="188"/>
  </r>
  <r>
    <d v="2013-12-10T00:00:00"/>
    <n v="10"/>
    <x v="11"/>
    <n v="3"/>
    <x v="1"/>
    <x v="0"/>
    <n v="192"/>
  </r>
  <r>
    <d v="2013-12-11T00:00:00"/>
    <n v="11"/>
    <x v="11"/>
    <n v="4"/>
    <x v="1"/>
    <x v="1"/>
    <n v="225"/>
  </r>
  <r>
    <d v="2013-12-12T00:00:00"/>
    <n v="12"/>
    <x v="11"/>
    <n v="5"/>
    <x v="1"/>
    <x v="2"/>
    <n v="221"/>
  </r>
  <r>
    <d v="2013-12-13T00:00:00"/>
    <n v="13"/>
    <x v="11"/>
    <n v="6"/>
    <x v="1"/>
    <x v="3"/>
    <n v="194"/>
  </r>
  <r>
    <d v="2013-12-14T00:00:00"/>
    <n v="14"/>
    <x v="11"/>
    <n v="7"/>
    <x v="1"/>
    <x v="4"/>
    <n v="176"/>
  </r>
  <r>
    <d v="2013-12-15T00:00:00"/>
    <n v="15"/>
    <x v="11"/>
    <n v="1"/>
    <x v="2"/>
    <x v="5"/>
    <n v="192"/>
  </r>
  <r>
    <d v="2013-12-16T00:00:00"/>
    <n v="16"/>
    <x v="11"/>
    <n v="2"/>
    <x v="2"/>
    <x v="6"/>
    <n v="215"/>
  </r>
  <r>
    <d v="2013-12-17T00:00:00"/>
    <n v="17"/>
    <x v="11"/>
    <n v="3"/>
    <x v="2"/>
    <x v="0"/>
    <n v="175"/>
  </r>
  <r>
    <d v="2013-12-18T00:00:00"/>
    <n v="18"/>
    <x v="11"/>
    <n v="4"/>
    <x v="2"/>
    <x v="1"/>
    <n v="206"/>
  </r>
  <r>
    <d v="2013-12-19T00:00:00"/>
    <n v="19"/>
    <x v="11"/>
    <n v="5"/>
    <x v="2"/>
    <x v="2"/>
    <n v="230"/>
  </r>
  <r>
    <d v="2013-12-20T00:00:00"/>
    <n v="20"/>
    <x v="11"/>
    <n v="6"/>
    <x v="2"/>
    <x v="3"/>
    <n v="189"/>
  </r>
  <r>
    <d v="2013-12-21T00:00:00"/>
    <n v="21"/>
    <x v="11"/>
    <n v="7"/>
    <x v="2"/>
    <x v="4"/>
    <n v="219"/>
  </r>
  <r>
    <d v="2013-12-22T00:00:00"/>
    <n v="22"/>
    <x v="11"/>
    <n v="1"/>
    <x v="3"/>
    <x v="5"/>
    <n v="228"/>
  </r>
  <r>
    <d v="2013-12-23T00:00:00"/>
    <n v="23"/>
    <x v="11"/>
    <n v="2"/>
    <x v="3"/>
    <x v="6"/>
    <n v="184"/>
  </r>
  <r>
    <d v="2013-12-24T00:00:00"/>
    <n v="24"/>
    <x v="11"/>
    <n v="3"/>
    <x v="3"/>
    <x v="0"/>
    <n v="202"/>
  </r>
  <r>
    <d v="2013-12-25T00:00:00"/>
    <n v="25"/>
    <x v="11"/>
    <n v="4"/>
    <x v="3"/>
    <x v="1"/>
    <n v="175"/>
  </r>
  <r>
    <d v="2013-12-26T00:00:00"/>
    <n v="26"/>
    <x v="11"/>
    <n v="5"/>
    <x v="3"/>
    <x v="2"/>
    <n v="185"/>
  </r>
  <r>
    <d v="2013-12-27T00:00:00"/>
    <n v="27"/>
    <x v="11"/>
    <n v="6"/>
    <x v="3"/>
    <x v="3"/>
    <n v="176"/>
  </r>
  <r>
    <d v="2013-12-28T00:00:00"/>
    <n v="28"/>
    <x v="11"/>
    <n v="7"/>
    <x v="3"/>
    <x v="4"/>
    <n v="203"/>
  </r>
  <r>
    <d v="2013-12-29T00:00:00"/>
    <n v="29"/>
    <x v="11"/>
    <n v="1"/>
    <x v="4"/>
    <x v="5"/>
    <n v="234"/>
  </r>
  <r>
    <d v="2013-12-30T00:00:00"/>
    <n v="30"/>
    <x v="11"/>
    <n v="2"/>
    <x v="4"/>
    <x v="6"/>
    <n v="193"/>
  </r>
  <r>
    <d v="2013-12-31T00:00:00"/>
    <n v="31"/>
    <x v="11"/>
    <n v="3"/>
    <x v="4"/>
    <x v="0"/>
    <n v="212"/>
  </r>
  <r>
    <d v="2013-12-31T00:00:00"/>
    <s v=""/>
    <x v="11"/>
    <s v=""/>
    <x v="6"/>
    <x v="7"/>
    <s v=""/>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4" cacheId="101"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location ref="A3:I10" firstHeaderRow="1" firstDataRow="2" firstDataCol="1" rowPageCount="1" colPageCount="1"/>
  <pivotFields count="7">
    <pivotField numFmtId="164" showAll="0"/>
    <pivotField dataField="1" showAll="0"/>
    <pivotField axis="axisPage" showAll="0">
      <items count="13">
        <item x="0"/>
        <item x="1"/>
        <item x="2"/>
        <item x="3"/>
        <item x="4"/>
        <item x="5"/>
        <item x="6"/>
        <item x="7"/>
        <item x="8"/>
        <item x="9"/>
        <item x="10"/>
        <item x="11"/>
        <item t="default"/>
      </items>
    </pivotField>
    <pivotField showAll="0"/>
    <pivotField axis="axisRow" showAll="0">
      <items count="8">
        <item x="0"/>
        <item x="1"/>
        <item x="2"/>
        <item x="3"/>
        <item x="4"/>
        <item x="5"/>
        <item x="6"/>
        <item t="default"/>
      </items>
    </pivotField>
    <pivotField axis="axisCol" showAll="0">
      <items count="9">
        <item x="5"/>
        <item x="6"/>
        <item x="0"/>
        <item x="1"/>
        <item x="2"/>
        <item x="3"/>
        <item x="4"/>
        <item x="7"/>
        <item t="default"/>
      </items>
    </pivotField>
    <pivotField showAll="0"/>
  </pivotFields>
  <rowFields count="1">
    <field x="4"/>
  </rowFields>
  <rowItems count="6">
    <i>
      <x/>
    </i>
    <i>
      <x v="1"/>
    </i>
    <i>
      <x v="2"/>
    </i>
    <i>
      <x v="3"/>
    </i>
    <i>
      <x v="4"/>
    </i>
    <i t="grand">
      <x/>
    </i>
  </rowItems>
  <colFields count="1">
    <field x="5"/>
  </colFields>
  <colItems count="8">
    <i>
      <x/>
    </i>
    <i>
      <x v="1"/>
    </i>
    <i>
      <x v="2"/>
    </i>
    <i>
      <x v="3"/>
    </i>
    <i>
      <x v="4"/>
    </i>
    <i>
      <x v="5"/>
    </i>
    <i>
      <x v="6"/>
    </i>
    <i t="grand">
      <x/>
    </i>
  </colItems>
  <pageFields count="1">
    <pageField fld="2" item="10" hier="-1"/>
  </pageFields>
  <dataFields count="1">
    <dataField name="Sum of Day Num" fld="1" baseField="4"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Month" sourceName="Month">
  <pivotTables>
    <pivotTable tabId="20" name="PivotTable4"/>
  </pivotTables>
  <data>
    <tabular pivotCacheId="1">
      <items count="12">
        <i x="0"/>
        <i x="1"/>
        <i x="2"/>
        <i x="3"/>
        <i x="4"/>
        <i x="5"/>
        <i x="6"/>
        <i x="7"/>
        <i x="8"/>
        <i x="9"/>
        <i x="10" s="1"/>
        <i x="1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Month" cache="Slicer_Month" caption="Month" columnCount="2"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microsoft.com/office/2007/relationships/slicer" Target="../slicers/slicer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1:H371"/>
  <sheetViews>
    <sheetView workbookViewId="0">
      <selection activeCell="K8" sqref="K8"/>
    </sheetView>
  </sheetViews>
  <sheetFormatPr defaultRowHeight="12.75" x14ac:dyDescent="0.2"/>
  <cols>
    <col min="1" max="1" width="1.42578125" style="1" customWidth="1"/>
    <col min="2" max="2" width="12.85546875" style="2" customWidth="1"/>
    <col min="3" max="6" width="11.42578125" style="2" customWidth="1"/>
    <col min="7" max="7" width="11.42578125" style="1" customWidth="1"/>
    <col min="8" max="8" width="9.28515625" style="2" bestFit="1" customWidth="1"/>
    <col min="9" max="16384" width="9.140625" style="1"/>
  </cols>
  <sheetData>
    <row r="1" spans="2:8" ht="7.5" customHeight="1" x14ac:dyDescent="0.2"/>
    <row r="2" spans="2:8" ht="27" x14ac:dyDescent="0.35">
      <c r="B2" s="50">
        <f>Calendar!K2</f>
        <v>2013</v>
      </c>
      <c r="C2" s="50"/>
      <c r="D2" s="50"/>
      <c r="E2" s="50"/>
      <c r="F2" s="50"/>
      <c r="G2" s="50"/>
      <c r="H2" s="50"/>
    </row>
    <row r="3" spans="2:8" x14ac:dyDescent="0.2">
      <c r="B3" s="8" t="s">
        <v>0</v>
      </c>
      <c r="C3" s="9" t="s">
        <v>5</v>
      </c>
      <c r="D3" s="9" t="s">
        <v>2</v>
      </c>
      <c r="E3" s="9" t="s">
        <v>3</v>
      </c>
      <c r="F3" s="9" t="s">
        <v>4</v>
      </c>
      <c r="G3" s="9" t="s">
        <v>1</v>
      </c>
      <c r="H3" s="5" t="s">
        <v>13</v>
      </c>
    </row>
    <row r="4" spans="2:8" x14ac:dyDescent="0.2">
      <c r="B4" s="6">
        <f>DATE($B$2,1,1)</f>
        <v>41275</v>
      </c>
      <c r="C4" s="7">
        <f>DAY(B4)</f>
        <v>1</v>
      </c>
      <c r="D4" s="7" t="str">
        <f>TEXT(B4,"mmm")</f>
        <v>Jan</v>
      </c>
      <c r="E4" s="7">
        <f>WEEKDAY(B4)</f>
        <v>3</v>
      </c>
      <c r="F4" s="7">
        <f>WEEKNUM(B4)</f>
        <v>1</v>
      </c>
      <c r="G4" s="7" t="str">
        <f>TEXT(B4,"ddd")</f>
        <v>Tue</v>
      </c>
      <c r="H4" s="2">
        <v>214</v>
      </c>
    </row>
    <row r="5" spans="2:8" x14ac:dyDescent="0.2">
      <c r="B5" s="6">
        <f>B4+1</f>
        <v>41276</v>
      </c>
      <c r="C5" s="7">
        <f t="shared" ref="C5:C68" si="0">DAY(B5)</f>
        <v>2</v>
      </c>
      <c r="D5" s="7" t="str">
        <f t="shared" ref="D5:D68" si="1">TEXT(B5,"mmm")</f>
        <v>Jan</v>
      </c>
      <c r="E5" s="7">
        <f t="shared" ref="E5:E68" si="2">WEEKDAY(B5)</f>
        <v>4</v>
      </c>
      <c r="F5" s="7">
        <f>IF(D5=D4,IF(E5=1,F4+1,F4),1)</f>
        <v>1</v>
      </c>
      <c r="G5" s="7" t="str">
        <f t="shared" ref="G5:G68" si="3">TEXT(B5,"ddd")</f>
        <v>Wed</v>
      </c>
      <c r="H5" s="2">
        <v>184</v>
      </c>
    </row>
    <row r="6" spans="2:8" x14ac:dyDescent="0.2">
      <c r="B6" s="6">
        <f t="shared" ref="B6:B69" si="4">B5+1</f>
        <v>41277</v>
      </c>
      <c r="C6" s="7">
        <f t="shared" si="0"/>
        <v>3</v>
      </c>
      <c r="D6" s="7" t="str">
        <f t="shared" si="1"/>
        <v>Jan</v>
      </c>
      <c r="E6" s="7">
        <f t="shared" si="2"/>
        <v>5</v>
      </c>
      <c r="F6" s="7">
        <f t="shared" ref="F6:F69" si="5">IF(D6=D5,IF(E6=1,F5+1,F5),1)</f>
        <v>1</v>
      </c>
      <c r="G6" s="7" t="str">
        <f t="shared" si="3"/>
        <v>Thu</v>
      </c>
      <c r="H6" s="2">
        <v>176</v>
      </c>
    </row>
    <row r="7" spans="2:8" x14ac:dyDescent="0.2">
      <c r="B7" s="6">
        <f t="shared" si="4"/>
        <v>41278</v>
      </c>
      <c r="C7" s="7">
        <f t="shared" si="0"/>
        <v>4</v>
      </c>
      <c r="D7" s="7" t="str">
        <f t="shared" si="1"/>
        <v>Jan</v>
      </c>
      <c r="E7" s="7">
        <f t="shared" si="2"/>
        <v>6</v>
      </c>
      <c r="F7" s="7">
        <f t="shared" si="5"/>
        <v>1</v>
      </c>
      <c r="G7" s="7" t="str">
        <f t="shared" si="3"/>
        <v>Fri</v>
      </c>
      <c r="H7" s="2">
        <v>167</v>
      </c>
    </row>
    <row r="8" spans="2:8" x14ac:dyDescent="0.2">
      <c r="B8" s="6">
        <f t="shared" si="4"/>
        <v>41279</v>
      </c>
      <c r="C8" s="7">
        <f t="shared" si="0"/>
        <v>5</v>
      </c>
      <c r="D8" s="7" t="str">
        <f t="shared" si="1"/>
        <v>Jan</v>
      </c>
      <c r="E8" s="7">
        <f t="shared" si="2"/>
        <v>7</v>
      </c>
      <c r="F8" s="7">
        <f t="shared" si="5"/>
        <v>1</v>
      </c>
      <c r="G8" s="7" t="str">
        <f t="shared" si="3"/>
        <v>Sat</v>
      </c>
      <c r="H8" s="2">
        <v>221</v>
      </c>
    </row>
    <row r="9" spans="2:8" x14ac:dyDescent="0.2">
      <c r="B9" s="6">
        <f t="shared" si="4"/>
        <v>41280</v>
      </c>
      <c r="C9" s="7">
        <f t="shared" si="0"/>
        <v>6</v>
      </c>
      <c r="D9" s="7" t="str">
        <f t="shared" si="1"/>
        <v>Jan</v>
      </c>
      <c r="E9" s="7">
        <f t="shared" si="2"/>
        <v>1</v>
      </c>
      <c r="F9" s="7">
        <f t="shared" si="5"/>
        <v>2</v>
      </c>
      <c r="G9" s="7" t="str">
        <f t="shared" si="3"/>
        <v>Sun</v>
      </c>
      <c r="H9" s="2">
        <v>168</v>
      </c>
    </row>
    <row r="10" spans="2:8" x14ac:dyDescent="0.2">
      <c r="B10" s="6">
        <f t="shared" si="4"/>
        <v>41281</v>
      </c>
      <c r="C10" s="7">
        <f t="shared" si="0"/>
        <v>7</v>
      </c>
      <c r="D10" s="7" t="str">
        <f t="shared" si="1"/>
        <v>Jan</v>
      </c>
      <c r="E10" s="7">
        <f t="shared" si="2"/>
        <v>2</v>
      </c>
      <c r="F10" s="7">
        <f t="shared" si="5"/>
        <v>2</v>
      </c>
      <c r="G10" s="7" t="str">
        <f t="shared" si="3"/>
        <v>Mon</v>
      </c>
      <c r="H10" s="2">
        <v>177</v>
      </c>
    </row>
    <row r="11" spans="2:8" x14ac:dyDescent="0.2">
      <c r="B11" s="6">
        <f t="shared" si="4"/>
        <v>41282</v>
      </c>
      <c r="C11" s="7">
        <f t="shared" si="0"/>
        <v>8</v>
      </c>
      <c r="D11" s="7" t="str">
        <f t="shared" si="1"/>
        <v>Jan</v>
      </c>
      <c r="E11" s="7">
        <f t="shared" si="2"/>
        <v>3</v>
      </c>
      <c r="F11" s="7">
        <f t="shared" si="5"/>
        <v>2</v>
      </c>
      <c r="G11" s="7" t="str">
        <f t="shared" si="3"/>
        <v>Tue</v>
      </c>
      <c r="H11" s="2">
        <v>183</v>
      </c>
    </row>
    <row r="12" spans="2:8" x14ac:dyDescent="0.2">
      <c r="B12" s="6">
        <f t="shared" si="4"/>
        <v>41283</v>
      </c>
      <c r="C12" s="7">
        <f t="shared" si="0"/>
        <v>9</v>
      </c>
      <c r="D12" s="7" t="str">
        <f t="shared" si="1"/>
        <v>Jan</v>
      </c>
      <c r="E12" s="7">
        <f t="shared" si="2"/>
        <v>4</v>
      </c>
      <c r="F12" s="7">
        <f t="shared" si="5"/>
        <v>2</v>
      </c>
      <c r="G12" s="7" t="str">
        <f t="shared" si="3"/>
        <v>Wed</v>
      </c>
      <c r="H12" s="2">
        <v>223</v>
      </c>
    </row>
    <row r="13" spans="2:8" x14ac:dyDescent="0.2">
      <c r="B13" s="6">
        <f t="shared" si="4"/>
        <v>41284</v>
      </c>
      <c r="C13" s="7">
        <f t="shared" si="0"/>
        <v>10</v>
      </c>
      <c r="D13" s="7" t="str">
        <f t="shared" si="1"/>
        <v>Jan</v>
      </c>
      <c r="E13" s="7">
        <f t="shared" si="2"/>
        <v>5</v>
      </c>
      <c r="F13" s="7">
        <f t="shared" si="5"/>
        <v>2</v>
      </c>
      <c r="G13" s="7" t="str">
        <f t="shared" si="3"/>
        <v>Thu</v>
      </c>
      <c r="H13" s="2">
        <v>201</v>
      </c>
    </row>
    <row r="14" spans="2:8" x14ac:dyDescent="0.2">
      <c r="B14" s="6">
        <f t="shared" si="4"/>
        <v>41285</v>
      </c>
      <c r="C14" s="7">
        <f t="shared" si="0"/>
        <v>11</v>
      </c>
      <c r="D14" s="7" t="str">
        <f t="shared" si="1"/>
        <v>Jan</v>
      </c>
      <c r="E14" s="7">
        <f t="shared" si="2"/>
        <v>6</v>
      </c>
      <c r="F14" s="7">
        <f t="shared" si="5"/>
        <v>2</v>
      </c>
      <c r="G14" s="7" t="str">
        <f t="shared" si="3"/>
        <v>Fri</v>
      </c>
      <c r="H14" s="2">
        <v>166</v>
      </c>
    </row>
    <row r="15" spans="2:8" x14ac:dyDescent="0.2">
      <c r="B15" s="6">
        <f t="shared" si="4"/>
        <v>41286</v>
      </c>
      <c r="C15" s="7">
        <f t="shared" si="0"/>
        <v>12</v>
      </c>
      <c r="D15" s="7" t="str">
        <f t="shared" si="1"/>
        <v>Jan</v>
      </c>
      <c r="E15" s="7">
        <f t="shared" si="2"/>
        <v>7</v>
      </c>
      <c r="F15" s="7">
        <f t="shared" si="5"/>
        <v>2</v>
      </c>
      <c r="G15" s="7" t="str">
        <f t="shared" si="3"/>
        <v>Sat</v>
      </c>
      <c r="H15" s="2">
        <v>213</v>
      </c>
    </row>
    <row r="16" spans="2:8" x14ac:dyDescent="0.2">
      <c r="B16" s="6">
        <f t="shared" si="4"/>
        <v>41287</v>
      </c>
      <c r="C16" s="7">
        <f t="shared" si="0"/>
        <v>13</v>
      </c>
      <c r="D16" s="7" t="str">
        <f t="shared" si="1"/>
        <v>Jan</v>
      </c>
      <c r="E16" s="7">
        <f t="shared" si="2"/>
        <v>1</v>
      </c>
      <c r="F16" s="7">
        <f t="shared" si="5"/>
        <v>3</v>
      </c>
      <c r="G16" s="7" t="str">
        <f t="shared" si="3"/>
        <v>Sun</v>
      </c>
      <c r="H16" s="2">
        <v>211</v>
      </c>
    </row>
    <row r="17" spans="2:8" x14ac:dyDescent="0.2">
      <c r="B17" s="6">
        <f t="shared" si="4"/>
        <v>41288</v>
      </c>
      <c r="C17" s="7">
        <f t="shared" si="0"/>
        <v>14</v>
      </c>
      <c r="D17" s="7" t="str">
        <f t="shared" si="1"/>
        <v>Jan</v>
      </c>
      <c r="E17" s="7">
        <f t="shared" si="2"/>
        <v>2</v>
      </c>
      <c r="F17" s="7">
        <f t="shared" si="5"/>
        <v>3</v>
      </c>
      <c r="G17" s="7" t="str">
        <f t="shared" si="3"/>
        <v>Mon</v>
      </c>
      <c r="H17" s="2">
        <v>175</v>
      </c>
    </row>
    <row r="18" spans="2:8" x14ac:dyDescent="0.2">
      <c r="B18" s="6">
        <f t="shared" si="4"/>
        <v>41289</v>
      </c>
      <c r="C18" s="7">
        <f t="shared" si="0"/>
        <v>15</v>
      </c>
      <c r="D18" s="7" t="str">
        <f t="shared" si="1"/>
        <v>Jan</v>
      </c>
      <c r="E18" s="7">
        <f t="shared" si="2"/>
        <v>3</v>
      </c>
      <c r="F18" s="7">
        <f t="shared" si="5"/>
        <v>3</v>
      </c>
      <c r="G18" s="7" t="str">
        <f t="shared" si="3"/>
        <v>Tue</v>
      </c>
      <c r="H18" s="2">
        <v>178</v>
      </c>
    </row>
    <row r="19" spans="2:8" x14ac:dyDescent="0.2">
      <c r="B19" s="6">
        <f t="shared" si="4"/>
        <v>41290</v>
      </c>
      <c r="C19" s="7">
        <f t="shared" si="0"/>
        <v>16</v>
      </c>
      <c r="D19" s="7" t="str">
        <f t="shared" si="1"/>
        <v>Jan</v>
      </c>
      <c r="E19" s="7">
        <f t="shared" si="2"/>
        <v>4</v>
      </c>
      <c r="F19" s="7">
        <f t="shared" si="5"/>
        <v>3</v>
      </c>
      <c r="G19" s="7" t="str">
        <f t="shared" si="3"/>
        <v>Wed</v>
      </c>
      <c r="H19" s="2">
        <v>208</v>
      </c>
    </row>
    <row r="20" spans="2:8" x14ac:dyDescent="0.2">
      <c r="B20" s="6">
        <f t="shared" si="4"/>
        <v>41291</v>
      </c>
      <c r="C20" s="7">
        <f t="shared" si="0"/>
        <v>17</v>
      </c>
      <c r="D20" s="7" t="str">
        <f t="shared" si="1"/>
        <v>Jan</v>
      </c>
      <c r="E20" s="7">
        <f t="shared" si="2"/>
        <v>5</v>
      </c>
      <c r="F20" s="7">
        <f t="shared" si="5"/>
        <v>3</v>
      </c>
      <c r="G20" s="7" t="str">
        <f t="shared" si="3"/>
        <v>Thu</v>
      </c>
      <c r="H20" s="2">
        <v>190</v>
      </c>
    </row>
    <row r="21" spans="2:8" x14ac:dyDescent="0.2">
      <c r="B21" s="6">
        <f t="shared" si="4"/>
        <v>41292</v>
      </c>
      <c r="C21" s="7">
        <f t="shared" si="0"/>
        <v>18</v>
      </c>
      <c r="D21" s="7" t="str">
        <f t="shared" si="1"/>
        <v>Jan</v>
      </c>
      <c r="E21" s="7">
        <f t="shared" si="2"/>
        <v>6</v>
      </c>
      <c r="F21" s="7">
        <f t="shared" si="5"/>
        <v>3</v>
      </c>
      <c r="G21" s="7" t="str">
        <f t="shared" si="3"/>
        <v>Fri</v>
      </c>
      <c r="H21" s="2">
        <v>211</v>
      </c>
    </row>
    <row r="22" spans="2:8" x14ac:dyDescent="0.2">
      <c r="B22" s="6">
        <f t="shared" si="4"/>
        <v>41293</v>
      </c>
      <c r="C22" s="7">
        <f t="shared" si="0"/>
        <v>19</v>
      </c>
      <c r="D22" s="7" t="str">
        <f t="shared" si="1"/>
        <v>Jan</v>
      </c>
      <c r="E22" s="7">
        <f t="shared" si="2"/>
        <v>7</v>
      </c>
      <c r="F22" s="7">
        <f t="shared" si="5"/>
        <v>3</v>
      </c>
      <c r="G22" s="7" t="str">
        <f t="shared" si="3"/>
        <v>Sat</v>
      </c>
      <c r="H22" s="2">
        <v>210</v>
      </c>
    </row>
    <row r="23" spans="2:8" x14ac:dyDescent="0.2">
      <c r="B23" s="6">
        <f t="shared" si="4"/>
        <v>41294</v>
      </c>
      <c r="C23" s="7">
        <f t="shared" si="0"/>
        <v>20</v>
      </c>
      <c r="D23" s="7" t="str">
        <f t="shared" si="1"/>
        <v>Jan</v>
      </c>
      <c r="E23" s="7">
        <f t="shared" si="2"/>
        <v>1</v>
      </c>
      <c r="F23" s="7">
        <f t="shared" si="5"/>
        <v>4</v>
      </c>
      <c r="G23" s="7" t="str">
        <f t="shared" si="3"/>
        <v>Sun</v>
      </c>
      <c r="H23" s="2">
        <v>217</v>
      </c>
    </row>
    <row r="24" spans="2:8" x14ac:dyDescent="0.2">
      <c r="B24" s="6">
        <f t="shared" si="4"/>
        <v>41295</v>
      </c>
      <c r="C24" s="7">
        <f t="shared" si="0"/>
        <v>21</v>
      </c>
      <c r="D24" s="7" t="str">
        <f t="shared" si="1"/>
        <v>Jan</v>
      </c>
      <c r="E24" s="7">
        <f t="shared" si="2"/>
        <v>2</v>
      </c>
      <c r="F24" s="7">
        <f t="shared" si="5"/>
        <v>4</v>
      </c>
      <c r="G24" s="7" t="str">
        <f t="shared" si="3"/>
        <v>Mon</v>
      </c>
      <c r="H24" s="2">
        <v>202</v>
      </c>
    </row>
    <row r="25" spans="2:8" x14ac:dyDescent="0.2">
      <c r="B25" s="6">
        <f t="shared" si="4"/>
        <v>41296</v>
      </c>
      <c r="C25" s="7">
        <f t="shared" si="0"/>
        <v>22</v>
      </c>
      <c r="D25" s="7" t="str">
        <f t="shared" si="1"/>
        <v>Jan</v>
      </c>
      <c r="E25" s="7">
        <f t="shared" si="2"/>
        <v>3</v>
      </c>
      <c r="F25" s="7">
        <f t="shared" si="5"/>
        <v>4</v>
      </c>
      <c r="G25" s="7" t="str">
        <f t="shared" si="3"/>
        <v>Tue</v>
      </c>
      <c r="H25" s="2">
        <v>194</v>
      </c>
    </row>
    <row r="26" spans="2:8" x14ac:dyDescent="0.2">
      <c r="B26" s="6">
        <f t="shared" si="4"/>
        <v>41297</v>
      </c>
      <c r="C26" s="7">
        <f t="shared" si="0"/>
        <v>23</v>
      </c>
      <c r="D26" s="7" t="str">
        <f t="shared" si="1"/>
        <v>Jan</v>
      </c>
      <c r="E26" s="7">
        <f t="shared" si="2"/>
        <v>4</v>
      </c>
      <c r="F26" s="7">
        <f t="shared" si="5"/>
        <v>4</v>
      </c>
      <c r="G26" s="7" t="str">
        <f t="shared" si="3"/>
        <v>Wed</v>
      </c>
      <c r="H26" s="2">
        <v>224</v>
      </c>
    </row>
    <row r="27" spans="2:8" x14ac:dyDescent="0.2">
      <c r="B27" s="6">
        <f t="shared" si="4"/>
        <v>41298</v>
      </c>
      <c r="C27" s="7">
        <f t="shared" si="0"/>
        <v>24</v>
      </c>
      <c r="D27" s="7" t="str">
        <f t="shared" si="1"/>
        <v>Jan</v>
      </c>
      <c r="E27" s="7">
        <f t="shared" si="2"/>
        <v>5</v>
      </c>
      <c r="F27" s="7">
        <f t="shared" si="5"/>
        <v>4</v>
      </c>
      <c r="G27" s="7" t="str">
        <f t="shared" si="3"/>
        <v>Thu</v>
      </c>
      <c r="H27" s="2">
        <v>182</v>
      </c>
    </row>
    <row r="28" spans="2:8" x14ac:dyDescent="0.2">
      <c r="B28" s="6">
        <f t="shared" si="4"/>
        <v>41299</v>
      </c>
      <c r="C28" s="7">
        <f t="shared" si="0"/>
        <v>25</v>
      </c>
      <c r="D28" s="7" t="str">
        <f t="shared" si="1"/>
        <v>Jan</v>
      </c>
      <c r="E28" s="7">
        <f t="shared" si="2"/>
        <v>6</v>
      </c>
      <c r="F28" s="7">
        <f t="shared" si="5"/>
        <v>4</v>
      </c>
      <c r="G28" s="7" t="str">
        <f t="shared" si="3"/>
        <v>Fri</v>
      </c>
      <c r="H28" s="2">
        <v>209</v>
      </c>
    </row>
    <row r="29" spans="2:8" x14ac:dyDescent="0.2">
      <c r="B29" s="6">
        <f t="shared" si="4"/>
        <v>41300</v>
      </c>
      <c r="C29" s="7">
        <f t="shared" si="0"/>
        <v>26</v>
      </c>
      <c r="D29" s="7" t="str">
        <f t="shared" si="1"/>
        <v>Jan</v>
      </c>
      <c r="E29" s="7">
        <f t="shared" si="2"/>
        <v>7</v>
      </c>
      <c r="F29" s="7">
        <f t="shared" si="5"/>
        <v>4</v>
      </c>
      <c r="G29" s="7" t="str">
        <f t="shared" si="3"/>
        <v>Sat</v>
      </c>
      <c r="H29" s="2">
        <v>195</v>
      </c>
    </row>
    <row r="30" spans="2:8" x14ac:dyDescent="0.2">
      <c r="B30" s="6">
        <f t="shared" si="4"/>
        <v>41301</v>
      </c>
      <c r="C30" s="7">
        <f t="shared" si="0"/>
        <v>27</v>
      </c>
      <c r="D30" s="7" t="str">
        <f t="shared" si="1"/>
        <v>Jan</v>
      </c>
      <c r="E30" s="7">
        <f t="shared" si="2"/>
        <v>1</v>
      </c>
      <c r="F30" s="7">
        <f t="shared" si="5"/>
        <v>5</v>
      </c>
      <c r="G30" s="7" t="str">
        <f t="shared" si="3"/>
        <v>Sun</v>
      </c>
      <c r="H30" s="2">
        <v>230</v>
      </c>
    </row>
    <row r="31" spans="2:8" x14ac:dyDescent="0.2">
      <c r="B31" s="6">
        <f t="shared" si="4"/>
        <v>41302</v>
      </c>
      <c r="C31" s="7">
        <f t="shared" si="0"/>
        <v>28</v>
      </c>
      <c r="D31" s="7" t="str">
        <f t="shared" si="1"/>
        <v>Jan</v>
      </c>
      <c r="E31" s="7">
        <f t="shared" si="2"/>
        <v>2</v>
      </c>
      <c r="F31" s="7">
        <f t="shared" si="5"/>
        <v>5</v>
      </c>
      <c r="G31" s="7" t="str">
        <f t="shared" si="3"/>
        <v>Mon</v>
      </c>
      <c r="H31" s="2">
        <v>208</v>
      </c>
    </row>
    <row r="32" spans="2:8" x14ac:dyDescent="0.2">
      <c r="B32" s="6">
        <f t="shared" si="4"/>
        <v>41303</v>
      </c>
      <c r="C32" s="7">
        <f t="shared" si="0"/>
        <v>29</v>
      </c>
      <c r="D32" s="7" t="str">
        <f t="shared" si="1"/>
        <v>Jan</v>
      </c>
      <c r="E32" s="7">
        <f t="shared" si="2"/>
        <v>3</v>
      </c>
      <c r="F32" s="7">
        <f t="shared" si="5"/>
        <v>5</v>
      </c>
      <c r="G32" s="7" t="str">
        <f t="shared" si="3"/>
        <v>Tue</v>
      </c>
      <c r="H32" s="2">
        <v>186</v>
      </c>
    </row>
    <row r="33" spans="2:8" x14ac:dyDescent="0.2">
      <c r="B33" s="6">
        <f t="shared" si="4"/>
        <v>41304</v>
      </c>
      <c r="C33" s="7">
        <f t="shared" si="0"/>
        <v>30</v>
      </c>
      <c r="D33" s="7" t="str">
        <f t="shared" si="1"/>
        <v>Jan</v>
      </c>
      <c r="E33" s="7">
        <f t="shared" si="2"/>
        <v>4</v>
      </c>
      <c r="F33" s="7">
        <f t="shared" si="5"/>
        <v>5</v>
      </c>
      <c r="G33" s="7" t="str">
        <f t="shared" si="3"/>
        <v>Wed</v>
      </c>
      <c r="H33" s="2">
        <v>179</v>
      </c>
    </row>
    <row r="34" spans="2:8" x14ac:dyDescent="0.2">
      <c r="B34" s="6">
        <f t="shared" si="4"/>
        <v>41305</v>
      </c>
      <c r="C34" s="7">
        <f t="shared" si="0"/>
        <v>31</v>
      </c>
      <c r="D34" s="7" t="str">
        <f t="shared" si="1"/>
        <v>Jan</v>
      </c>
      <c r="E34" s="7">
        <f t="shared" si="2"/>
        <v>5</v>
      </c>
      <c r="F34" s="7">
        <f t="shared" si="5"/>
        <v>5</v>
      </c>
      <c r="G34" s="7" t="str">
        <f t="shared" si="3"/>
        <v>Thu</v>
      </c>
      <c r="H34" s="2">
        <v>215</v>
      </c>
    </row>
    <row r="35" spans="2:8" x14ac:dyDescent="0.2">
      <c r="B35" s="6">
        <f t="shared" si="4"/>
        <v>41306</v>
      </c>
      <c r="C35" s="7">
        <f t="shared" si="0"/>
        <v>1</v>
      </c>
      <c r="D35" s="7" t="str">
        <f t="shared" si="1"/>
        <v>Feb</v>
      </c>
      <c r="E35" s="7">
        <f t="shared" si="2"/>
        <v>6</v>
      </c>
      <c r="F35" s="7">
        <f t="shared" si="5"/>
        <v>1</v>
      </c>
      <c r="G35" s="7" t="str">
        <f t="shared" si="3"/>
        <v>Fri</v>
      </c>
      <c r="H35" s="2">
        <v>197</v>
      </c>
    </row>
    <row r="36" spans="2:8" x14ac:dyDescent="0.2">
      <c r="B36" s="6">
        <f t="shared" si="4"/>
        <v>41307</v>
      </c>
      <c r="C36" s="7">
        <f t="shared" si="0"/>
        <v>2</v>
      </c>
      <c r="D36" s="7" t="str">
        <f t="shared" si="1"/>
        <v>Feb</v>
      </c>
      <c r="E36" s="7">
        <f t="shared" si="2"/>
        <v>7</v>
      </c>
      <c r="F36" s="7">
        <f t="shared" si="5"/>
        <v>1</v>
      </c>
      <c r="G36" s="7" t="str">
        <f t="shared" si="3"/>
        <v>Sat</v>
      </c>
      <c r="H36" s="2">
        <v>234</v>
      </c>
    </row>
    <row r="37" spans="2:8" x14ac:dyDescent="0.2">
      <c r="B37" s="6">
        <f t="shared" si="4"/>
        <v>41308</v>
      </c>
      <c r="C37" s="7">
        <f t="shared" si="0"/>
        <v>3</v>
      </c>
      <c r="D37" s="7" t="str">
        <f t="shared" si="1"/>
        <v>Feb</v>
      </c>
      <c r="E37" s="7">
        <f t="shared" si="2"/>
        <v>1</v>
      </c>
      <c r="F37" s="7">
        <f t="shared" si="5"/>
        <v>2</v>
      </c>
      <c r="G37" s="7" t="str">
        <f t="shared" si="3"/>
        <v>Sun</v>
      </c>
      <c r="H37" s="2">
        <v>174</v>
      </c>
    </row>
    <row r="38" spans="2:8" x14ac:dyDescent="0.2">
      <c r="B38" s="6">
        <f t="shared" si="4"/>
        <v>41309</v>
      </c>
      <c r="C38" s="7">
        <f t="shared" si="0"/>
        <v>4</v>
      </c>
      <c r="D38" s="7" t="str">
        <f t="shared" si="1"/>
        <v>Feb</v>
      </c>
      <c r="E38" s="7">
        <f t="shared" si="2"/>
        <v>2</v>
      </c>
      <c r="F38" s="7">
        <f t="shared" si="5"/>
        <v>2</v>
      </c>
      <c r="G38" s="7" t="str">
        <f t="shared" si="3"/>
        <v>Mon</v>
      </c>
      <c r="H38" s="2">
        <v>230</v>
      </c>
    </row>
    <row r="39" spans="2:8" x14ac:dyDescent="0.2">
      <c r="B39" s="6">
        <f t="shared" si="4"/>
        <v>41310</v>
      </c>
      <c r="C39" s="7">
        <f t="shared" si="0"/>
        <v>5</v>
      </c>
      <c r="D39" s="7" t="str">
        <f t="shared" si="1"/>
        <v>Feb</v>
      </c>
      <c r="E39" s="7">
        <f t="shared" si="2"/>
        <v>3</v>
      </c>
      <c r="F39" s="7">
        <f t="shared" si="5"/>
        <v>2</v>
      </c>
      <c r="G39" s="7" t="str">
        <f t="shared" si="3"/>
        <v>Tue</v>
      </c>
      <c r="H39" s="2">
        <v>166</v>
      </c>
    </row>
    <row r="40" spans="2:8" x14ac:dyDescent="0.2">
      <c r="B40" s="6">
        <f t="shared" si="4"/>
        <v>41311</v>
      </c>
      <c r="C40" s="7">
        <f t="shared" si="0"/>
        <v>6</v>
      </c>
      <c r="D40" s="7" t="str">
        <f t="shared" si="1"/>
        <v>Feb</v>
      </c>
      <c r="E40" s="7">
        <f t="shared" si="2"/>
        <v>4</v>
      </c>
      <c r="F40" s="7">
        <f t="shared" si="5"/>
        <v>2</v>
      </c>
      <c r="G40" s="7" t="str">
        <f t="shared" si="3"/>
        <v>Wed</v>
      </c>
      <c r="H40" s="2">
        <v>193</v>
      </c>
    </row>
    <row r="41" spans="2:8" x14ac:dyDescent="0.2">
      <c r="B41" s="6">
        <f t="shared" si="4"/>
        <v>41312</v>
      </c>
      <c r="C41" s="7">
        <f t="shared" si="0"/>
        <v>7</v>
      </c>
      <c r="D41" s="7" t="str">
        <f t="shared" si="1"/>
        <v>Feb</v>
      </c>
      <c r="E41" s="7">
        <f t="shared" si="2"/>
        <v>5</v>
      </c>
      <c r="F41" s="7">
        <f t="shared" si="5"/>
        <v>2</v>
      </c>
      <c r="G41" s="7" t="str">
        <f t="shared" si="3"/>
        <v>Thu</v>
      </c>
      <c r="H41" s="2">
        <v>207</v>
      </c>
    </row>
    <row r="42" spans="2:8" x14ac:dyDescent="0.2">
      <c r="B42" s="6">
        <f t="shared" si="4"/>
        <v>41313</v>
      </c>
      <c r="C42" s="7">
        <f t="shared" si="0"/>
        <v>8</v>
      </c>
      <c r="D42" s="7" t="str">
        <f t="shared" si="1"/>
        <v>Feb</v>
      </c>
      <c r="E42" s="7">
        <f t="shared" si="2"/>
        <v>6</v>
      </c>
      <c r="F42" s="7">
        <f t="shared" si="5"/>
        <v>2</v>
      </c>
      <c r="G42" s="7" t="str">
        <f t="shared" si="3"/>
        <v>Fri</v>
      </c>
      <c r="H42" s="2">
        <v>207</v>
      </c>
    </row>
    <row r="43" spans="2:8" x14ac:dyDescent="0.2">
      <c r="B43" s="6">
        <f t="shared" si="4"/>
        <v>41314</v>
      </c>
      <c r="C43" s="7">
        <f t="shared" si="0"/>
        <v>9</v>
      </c>
      <c r="D43" s="7" t="str">
        <f t="shared" si="1"/>
        <v>Feb</v>
      </c>
      <c r="E43" s="7">
        <f t="shared" si="2"/>
        <v>7</v>
      </c>
      <c r="F43" s="7">
        <f t="shared" si="5"/>
        <v>2</v>
      </c>
      <c r="G43" s="7" t="str">
        <f t="shared" si="3"/>
        <v>Sat</v>
      </c>
      <c r="H43" s="2">
        <v>219</v>
      </c>
    </row>
    <row r="44" spans="2:8" x14ac:dyDescent="0.2">
      <c r="B44" s="6">
        <f t="shared" si="4"/>
        <v>41315</v>
      </c>
      <c r="C44" s="7">
        <f t="shared" si="0"/>
        <v>10</v>
      </c>
      <c r="D44" s="7" t="str">
        <f t="shared" si="1"/>
        <v>Feb</v>
      </c>
      <c r="E44" s="7">
        <f t="shared" si="2"/>
        <v>1</v>
      </c>
      <c r="F44" s="7">
        <f t="shared" si="5"/>
        <v>3</v>
      </c>
      <c r="G44" s="7" t="str">
        <f t="shared" si="3"/>
        <v>Sun</v>
      </c>
      <c r="H44" s="2">
        <v>167</v>
      </c>
    </row>
    <row r="45" spans="2:8" x14ac:dyDescent="0.2">
      <c r="B45" s="6">
        <f t="shared" si="4"/>
        <v>41316</v>
      </c>
      <c r="C45" s="7">
        <f t="shared" si="0"/>
        <v>11</v>
      </c>
      <c r="D45" s="7" t="str">
        <f t="shared" si="1"/>
        <v>Feb</v>
      </c>
      <c r="E45" s="7">
        <f t="shared" si="2"/>
        <v>2</v>
      </c>
      <c r="F45" s="7">
        <f t="shared" si="5"/>
        <v>3</v>
      </c>
      <c r="G45" s="7" t="str">
        <f t="shared" si="3"/>
        <v>Mon</v>
      </c>
      <c r="H45" s="2">
        <v>192</v>
      </c>
    </row>
    <row r="46" spans="2:8" x14ac:dyDescent="0.2">
      <c r="B46" s="6">
        <f t="shared" si="4"/>
        <v>41317</v>
      </c>
      <c r="C46" s="7">
        <f t="shared" si="0"/>
        <v>12</v>
      </c>
      <c r="D46" s="7" t="str">
        <f t="shared" si="1"/>
        <v>Feb</v>
      </c>
      <c r="E46" s="7">
        <f t="shared" si="2"/>
        <v>3</v>
      </c>
      <c r="F46" s="7">
        <f t="shared" si="5"/>
        <v>3</v>
      </c>
      <c r="G46" s="7" t="str">
        <f t="shared" si="3"/>
        <v>Tue</v>
      </c>
      <c r="H46" s="2">
        <v>194</v>
      </c>
    </row>
    <row r="47" spans="2:8" x14ac:dyDescent="0.2">
      <c r="B47" s="6">
        <f t="shared" si="4"/>
        <v>41318</v>
      </c>
      <c r="C47" s="7">
        <f t="shared" si="0"/>
        <v>13</v>
      </c>
      <c r="D47" s="7" t="str">
        <f t="shared" si="1"/>
        <v>Feb</v>
      </c>
      <c r="E47" s="7">
        <f t="shared" si="2"/>
        <v>4</v>
      </c>
      <c r="F47" s="7">
        <f t="shared" si="5"/>
        <v>3</v>
      </c>
      <c r="G47" s="7" t="str">
        <f t="shared" si="3"/>
        <v>Wed</v>
      </c>
      <c r="H47" s="2">
        <v>229</v>
      </c>
    </row>
    <row r="48" spans="2:8" x14ac:dyDescent="0.2">
      <c r="B48" s="6">
        <f t="shared" si="4"/>
        <v>41319</v>
      </c>
      <c r="C48" s="7">
        <f t="shared" si="0"/>
        <v>14</v>
      </c>
      <c r="D48" s="7" t="str">
        <f t="shared" si="1"/>
        <v>Feb</v>
      </c>
      <c r="E48" s="7">
        <f t="shared" si="2"/>
        <v>5</v>
      </c>
      <c r="F48" s="7">
        <f t="shared" si="5"/>
        <v>3</v>
      </c>
      <c r="G48" s="7" t="str">
        <f t="shared" si="3"/>
        <v>Thu</v>
      </c>
      <c r="H48" s="2">
        <v>188</v>
      </c>
    </row>
    <row r="49" spans="2:8" x14ac:dyDescent="0.2">
      <c r="B49" s="6">
        <f t="shared" si="4"/>
        <v>41320</v>
      </c>
      <c r="C49" s="7">
        <f t="shared" si="0"/>
        <v>15</v>
      </c>
      <c r="D49" s="7" t="str">
        <f t="shared" si="1"/>
        <v>Feb</v>
      </c>
      <c r="E49" s="7">
        <f t="shared" si="2"/>
        <v>6</v>
      </c>
      <c r="F49" s="7">
        <f t="shared" si="5"/>
        <v>3</v>
      </c>
      <c r="G49" s="7" t="str">
        <f t="shared" si="3"/>
        <v>Fri</v>
      </c>
      <c r="H49" s="2">
        <v>232</v>
      </c>
    </row>
    <row r="50" spans="2:8" x14ac:dyDescent="0.2">
      <c r="B50" s="6">
        <f t="shared" si="4"/>
        <v>41321</v>
      </c>
      <c r="C50" s="7">
        <f t="shared" si="0"/>
        <v>16</v>
      </c>
      <c r="D50" s="7" t="str">
        <f t="shared" si="1"/>
        <v>Feb</v>
      </c>
      <c r="E50" s="7">
        <f t="shared" si="2"/>
        <v>7</v>
      </c>
      <c r="F50" s="7">
        <f t="shared" si="5"/>
        <v>3</v>
      </c>
      <c r="G50" s="7" t="str">
        <f t="shared" si="3"/>
        <v>Sat</v>
      </c>
      <c r="H50" s="2">
        <v>176</v>
      </c>
    </row>
    <row r="51" spans="2:8" x14ac:dyDescent="0.2">
      <c r="B51" s="6">
        <f t="shared" si="4"/>
        <v>41322</v>
      </c>
      <c r="C51" s="7">
        <f t="shared" si="0"/>
        <v>17</v>
      </c>
      <c r="D51" s="7" t="str">
        <f t="shared" si="1"/>
        <v>Feb</v>
      </c>
      <c r="E51" s="7">
        <f t="shared" si="2"/>
        <v>1</v>
      </c>
      <c r="F51" s="7">
        <f t="shared" si="5"/>
        <v>4</v>
      </c>
      <c r="G51" s="7" t="str">
        <f t="shared" si="3"/>
        <v>Sun</v>
      </c>
      <c r="H51" s="2">
        <v>176</v>
      </c>
    </row>
    <row r="52" spans="2:8" x14ac:dyDescent="0.2">
      <c r="B52" s="6">
        <f t="shared" si="4"/>
        <v>41323</v>
      </c>
      <c r="C52" s="7">
        <f t="shared" si="0"/>
        <v>18</v>
      </c>
      <c r="D52" s="7" t="str">
        <f t="shared" si="1"/>
        <v>Feb</v>
      </c>
      <c r="E52" s="7">
        <f t="shared" si="2"/>
        <v>2</v>
      </c>
      <c r="F52" s="7">
        <f t="shared" si="5"/>
        <v>4</v>
      </c>
      <c r="G52" s="7" t="str">
        <f t="shared" si="3"/>
        <v>Mon</v>
      </c>
      <c r="H52" s="2">
        <v>221</v>
      </c>
    </row>
    <row r="53" spans="2:8" x14ac:dyDescent="0.2">
      <c r="B53" s="6">
        <f t="shared" si="4"/>
        <v>41324</v>
      </c>
      <c r="C53" s="7">
        <f t="shared" si="0"/>
        <v>19</v>
      </c>
      <c r="D53" s="7" t="str">
        <f t="shared" si="1"/>
        <v>Feb</v>
      </c>
      <c r="E53" s="7">
        <f t="shared" si="2"/>
        <v>3</v>
      </c>
      <c r="F53" s="7">
        <f t="shared" si="5"/>
        <v>4</v>
      </c>
      <c r="G53" s="7" t="str">
        <f t="shared" si="3"/>
        <v>Tue</v>
      </c>
      <c r="H53" s="2">
        <v>183</v>
      </c>
    </row>
    <row r="54" spans="2:8" x14ac:dyDescent="0.2">
      <c r="B54" s="6">
        <f t="shared" si="4"/>
        <v>41325</v>
      </c>
      <c r="C54" s="7">
        <f t="shared" si="0"/>
        <v>20</v>
      </c>
      <c r="D54" s="7" t="str">
        <f t="shared" si="1"/>
        <v>Feb</v>
      </c>
      <c r="E54" s="7">
        <f t="shared" si="2"/>
        <v>4</v>
      </c>
      <c r="F54" s="7">
        <f t="shared" si="5"/>
        <v>4</v>
      </c>
      <c r="G54" s="7" t="str">
        <f t="shared" si="3"/>
        <v>Wed</v>
      </c>
      <c r="H54" s="2">
        <v>193</v>
      </c>
    </row>
    <row r="55" spans="2:8" x14ac:dyDescent="0.2">
      <c r="B55" s="6">
        <f t="shared" si="4"/>
        <v>41326</v>
      </c>
      <c r="C55" s="7">
        <f t="shared" si="0"/>
        <v>21</v>
      </c>
      <c r="D55" s="7" t="str">
        <f t="shared" si="1"/>
        <v>Feb</v>
      </c>
      <c r="E55" s="7">
        <f t="shared" si="2"/>
        <v>5</v>
      </c>
      <c r="F55" s="7">
        <f t="shared" si="5"/>
        <v>4</v>
      </c>
      <c r="G55" s="7" t="str">
        <f t="shared" si="3"/>
        <v>Thu</v>
      </c>
      <c r="H55" s="2">
        <v>228</v>
      </c>
    </row>
    <row r="56" spans="2:8" x14ac:dyDescent="0.2">
      <c r="B56" s="6">
        <f t="shared" si="4"/>
        <v>41327</v>
      </c>
      <c r="C56" s="7">
        <f t="shared" si="0"/>
        <v>22</v>
      </c>
      <c r="D56" s="7" t="str">
        <f t="shared" si="1"/>
        <v>Feb</v>
      </c>
      <c r="E56" s="7">
        <f t="shared" si="2"/>
        <v>6</v>
      </c>
      <c r="F56" s="7">
        <f t="shared" si="5"/>
        <v>4</v>
      </c>
      <c r="G56" s="7" t="str">
        <f t="shared" si="3"/>
        <v>Fri</v>
      </c>
      <c r="H56" s="2">
        <v>177</v>
      </c>
    </row>
    <row r="57" spans="2:8" x14ac:dyDescent="0.2">
      <c r="B57" s="6">
        <f t="shared" si="4"/>
        <v>41328</v>
      </c>
      <c r="C57" s="7">
        <f t="shared" si="0"/>
        <v>23</v>
      </c>
      <c r="D57" s="7" t="str">
        <f t="shared" si="1"/>
        <v>Feb</v>
      </c>
      <c r="E57" s="7">
        <f t="shared" si="2"/>
        <v>7</v>
      </c>
      <c r="F57" s="7">
        <f t="shared" si="5"/>
        <v>4</v>
      </c>
      <c r="G57" s="7" t="str">
        <f t="shared" si="3"/>
        <v>Sat</v>
      </c>
      <c r="H57" s="2">
        <v>233</v>
      </c>
    </row>
    <row r="58" spans="2:8" x14ac:dyDescent="0.2">
      <c r="B58" s="6">
        <f t="shared" si="4"/>
        <v>41329</v>
      </c>
      <c r="C58" s="7">
        <f t="shared" si="0"/>
        <v>24</v>
      </c>
      <c r="D58" s="7" t="str">
        <f t="shared" si="1"/>
        <v>Feb</v>
      </c>
      <c r="E58" s="7">
        <f t="shared" si="2"/>
        <v>1</v>
      </c>
      <c r="F58" s="7">
        <f t="shared" si="5"/>
        <v>5</v>
      </c>
      <c r="G58" s="7" t="str">
        <f t="shared" si="3"/>
        <v>Sun</v>
      </c>
      <c r="H58" s="2">
        <v>167</v>
      </c>
    </row>
    <row r="59" spans="2:8" x14ac:dyDescent="0.2">
      <c r="B59" s="6">
        <f t="shared" si="4"/>
        <v>41330</v>
      </c>
      <c r="C59" s="7">
        <f t="shared" si="0"/>
        <v>25</v>
      </c>
      <c r="D59" s="7" t="str">
        <f t="shared" si="1"/>
        <v>Feb</v>
      </c>
      <c r="E59" s="7">
        <f t="shared" si="2"/>
        <v>2</v>
      </c>
      <c r="F59" s="7">
        <f t="shared" si="5"/>
        <v>5</v>
      </c>
      <c r="G59" s="7" t="str">
        <f t="shared" si="3"/>
        <v>Mon</v>
      </c>
      <c r="H59" s="2">
        <v>187</v>
      </c>
    </row>
    <row r="60" spans="2:8" x14ac:dyDescent="0.2">
      <c r="B60" s="6">
        <f t="shared" si="4"/>
        <v>41331</v>
      </c>
      <c r="C60" s="7">
        <f t="shared" si="0"/>
        <v>26</v>
      </c>
      <c r="D60" s="7" t="str">
        <f t="shared" si="1"/>
        <v>Feb</v>
      </c>
      <c r="E60" s="7">
        <f t="shared" si="2"/>
        <v>3</v>
      </c>
      <c r="F60" s="7">
        <f t="shared" si="5"/>
        <v>5</v>
      </c>
      <c r="G60" s="7" t="str">
        <f t="shared" si="3"/>
        <v>Tue</v>
      </c>
      <c r="H60" s="2">
        <v>172</v>
      </c>
    </row>
    <row r="61" spans="2:8" x14ac:dyDescent="0.2">
      <c r="B61" s="6">
        <f t="shared" si="4"/>
        <v>41332</v>
      </c>
      <c r="C61" s="7">
        <f t="shared" si="0"/>
        <v>27</v>
      </c>
      <c r="D61" s="7" t="str">
        <f t="shared" si="1"/>
        <v>Feb</v>
      </c>
      <c r="E61" s="7">
        <f t="shared" si="2"/>
        <v>4</v>
      </c>
      <c r="F61" s="7">
        <f t="shared" si="5"/>
        <v>5</v>
      </c>
      <c r="G61" s="7" t="str">
        <f t="shared" si="3"/>
        <v>Wed</v>
      </c>
      <c r="H61" s="2">
        <v>223</v>
      </c>
    </row>
    <row r="62" spans="2:8" x14ac:dyDescent="0.2">
      <c r="B62" s="6">
        <f t="shared" si="4"/>
        <v>41333</v>
      </c>
      <c r="C62" s="7">
        <f t="shared" si="0"/>
        <v>28</v>
      </c>
      <c r="D62" s="7" t="str">
        <f t="shared" si="1"/>
        <v>Feb</v>
      </c>
      <c r="E62" s="7">
        <f t="shared" si="2"/>
        <v>5</v>
      </c>
      <c r="F62" s="7">
        <f t="shared" si="5"/>
        <v>5</v>
      </c>
      <c r="G62" s="7" t="str">
        <f t="shared" si="3"/>
        <v>Thu</v>
      </c>
      <c r="H62" s="2">
        <v>208</v>
      </c>
    </row>
    <row r="63" spans="2:8" x14ac:dyDescent="0.2">
      <c r="B63" s="6">
        <f t="shared" si="4"/>
        <v>41334</v>
      </c>
      <c r="C63" s="7">
        <f t="shared" si="0"/>
        <v>1</v>
      </c>
      <c r="D63" s="7" t="str">
        <f t="shared" si="1"/>
        <v>Mar</v>
      </c>
      <c r="E63" s="7">
        <f t="shared" si="2"/>
        <v>6</v>
      </c>
      <c r="F63" s="7">
        <f t="shared" si="5"/>
        <v>1</v>
      </c>
      <c r="G63" s="7" t="str">
        <f t="shared" si="3"/>
        <v>Fri</v>
      </c>
      <c r="H63" s="2">
        <v>219</v>
      </c>
    </row>
    <row r="64" spans="2:8" x14ac:dyDescent="0.2">
      <c r="B64" s="6">
        <f t="shared" si="4"/>
        <v>41335</v>
      </c>
      <c r="C64" s="7">
        <f t="shared" si="0"/>
        <v>2</v>
      </c>
      <c r="D64" s="7" t="str">
        <f t="shared" si="1"/>
        <v>Mar</v>
      </c>
      <c r="E64" s="7">
        <f t="shared" si="2"/>
        <v>7</v>
      </c>
      <c r="F64" s="7">
        <f t="shared" si="5"/>
        <v>1</v>
      </c>
      <c r="G64" s="7" t="str">
        <f t="shared" si="3"/>
        <v>Sat</v>
      </c>
      <c r="H64" s="2">
        <v>175</v>
      </c>
    </row>
    <row r="65" spans="2:8" x14ac:dyDescent="0.2">
      <c r="B65" s="6">
        <f t="shared" si="4"/>
        <v>41336</v>
      </c>
      <c r="C65" s="7">
        <f t="shared" si="0"/>
        <v>3</v>
      </c>
      <c r="D65" s="7" t="str">
        <f t="shared" si="1"/>
        <v>Mar</v>
      </c>
      <c r="E65" s="7">
        <f t="shared" si="2"/>
        <v>1</v>
      </c>
      <c r="F65" s="7">
        <f t="shared" si="5"/>
        <v>2</v>
      </c>
      <c r="G65" s="7" t="str">
        <f t="shared" si="3"/>
        <v>Sun</v>
      </c>
      <c r="H65" s="2">
        <v>211</v>
      </c>
    </row>
    <row r="66" spans="2:8" x14ac:dyDescent="0.2">
      <c r="B66" s="6">
        <f t="shared" si="4"/>
        <v>41337</v>
      </c>
      <c r="C66" s="7">
        <f t="shared" si="0"/>
        <v>4</v>
      </c>
      <c r="D66" s="7" t="str">
        <f t="shared" si="1"/>
        <v>Mar</v>
      </c>
      <c r="E66" s="7">
        <f t="shared" si="2"/>
        <v>2</v>
      </c>
      <c r="F66" s="7">
        <f t="shared" si="5"/>
        <v>2</v>
      </c>
      <c r="G66" s="7" t="str">
        <f t="shared" si="3"/>
        <v>Mon</v>
      </c>
      <c r="H66" s="2">
        <v>207</v>
      </c>
    </row>
    <row r="67" spans="2:8" x14ac:dyDescent="0.2">
      <c r="B67" s="6">
        <f t="shared" si="4"/>
        <v>41338</v>
      </c>
      <c r="C67" s="7">
        <f t="shared" si="0"/>
        <v>5</v>
      </c>
      <c r="D67" s="7" t="str">
        <f t="shared" si="1"/>
        <v>Mar</v>
      </c>
      <c r="E67" s="7">
        <f t="shared" si="2"/>
        <v>3</v>
      </c>
      <c r="F67" s="7">
        <f t="shared" si="5"/>
        <v>2</v>
      </c>
      <c r="G67" s="7" t="str">
        <f t="shared" si="3"/>
        <v>Tue</v>
      </c>
      <c r="H67" s="2">
        <v>228</v>
      </c>
    </row>
    <row r="68" spans="2:8" x14ac:dyDescent="0.2">
      <c r="B68" s="6">
        <f t="shared" si="4"/>
        <v>41339</v>
      </c>
      <c r="C68" s="7">
        <f t="shared" si="0"/>
        <v>6</v>
      </c>
      <c r="D68" s="7" t="str">
        <f t="shared" si="1"/>
        <v>Mar</v>
      </c>
      <c r="E68" s="7">
        <f t="shared" si="2"/>
        <v>4</v>
      </c>
      <c r="F68" s="7">
        <f t="shared" si="5"/>
        <v>2</v>
      </c>
      <c r="G68" s="7" t="str">
        <f t="shared" si="3"/>
        <v>Wed</v>
      </c>
      <c r="H68" s="2">
        <v>222</v>
      </c>
    </row>
    <row r="69" spans="2:8" x14ac:dyDescent="0.2">
      <c r="B69" s="6">
        <f t="shared" si="4"/>
        <v>41340</v>
      </c>
      <c r="C69" s="7">
        <f t="shared" ref="C69:C132" si="6">DAY(B69)</f>
        <v>7</v>
      </c>
      <c r="D69" s="7" t="str">
        <f t="shared" ref="D69:D132" si="7">TEXT(B69,"mmm")</f>
        <v>Mar</v>
      </c>
      <c r="E69" s="7">
        <f t="shared" ref="E69:E132" si="8">WEEKDAY(B69)</f>
        <v>5</v>
      </c>
      <c r="F69" s="7">
        <f t="shared" si="5"/>
        <v>2</v>
      </c>
      <c r="G69" s="7" t="str">
        <f t="shared" ref="G69:G132" si="9">TEXT(B69,"ddd")</f>
        <v>Thu</v>
      </c>
      <c r="H69" s="2">
        <v>177</v>
      </c>
    </row>
    <row r="70" spans="2:8" x14ac:dyDescent="0.2">
      <c r="B70" s="6">
        <f t="shared" ref="B70:B133" si="10">B69+1</f>
        <v>41341</v>
      </c>
      <c r="C70" s="7">
        <f t="shared" si="6"/>
        <v>8</v>
      </c>
      <c r="D70" s="7" t="str">
        <f t="shared" si="7"/>
        <v>Mar</v>
      </c>
      <c r="E70" s="7">
        <f t="shared" si="8"/>
        <v>6</v>
      </c>
      <c r="F70" s="7">
        <f t="shared" ref="F70:F133" si="11">IF(D70=D69,IF(E70=1,F69+1,F69),1)</f>
        <v>2</v>
      </c>
      <c r="G70" s="7" t="str">
        <f t="shared" si="9"/>
        <v>Fri</v>
      </c>
      <c r="H70" s="2">
        <v>207</v>
      </c>
    </row>
    <row r="71" spans="2:8" x14ac:dyDescent="0.2">
      <c r="B71" s="6">
        <f t="shared" si="10"/>
        <v>41342</v>
      </c>
      <c r="C71" s="7">
        <f t="shared" si="6"/>
        <v>9</v>
      </c>
      <c r="D71" s="7" t="str">
        <f t="shared" si="7"/>
        <v>Mar</v>
      </c>
      <c r="E71" s="7">
        <f t="shared" si="8"/>
        <v>7</v>
      </c>
      <c r="F71" s="7">
        <f t="shared" si="11"/>
        <v>2</v>
      </c>
      <c r="G71" s="7" t="str">
        <f t="shared" si="9"/>
        <v>Sat</v>
      </c>
      <c r="H71" s="2">
        <v>189</v>
      </c>
    </row>
    <row r="72" spans="2:8" x14ac:dyDescent="0.2">
      <c r="B72" s="6">
        <f t="shared" si="10"/>
        <v>41343</v>
      </c>
      <c r="C72" s="7">
        <f t="shared" si="6"/>
        <v>10</v>
      </c>
      <c r="D72" s="7" t="str">
        <f t="shared" si="7"/>
        <v>Mar</v>
      </c>
      <c r="E72" s="7">
        <f t="shared" si="8"/>
        <v>1</v>
      </c>
      <c r="F72" s="7">
        <f t="shared" si="11"/>
        <v>3</v>
      </c>
      <c r="G72" s="7" t="str">
        <f t="shared" si="9"/>
        <v>Sun</v>
      </c>
      <c r="H72" s="2">
        <v>218</v>
      </c>
    </row>
    <row r="73" spans="2:8" x14ac:dyDescent="0.2">
      <c r="B73" s="6">
        <f t="shared" si="10"/>
        <v>41344</v>
      </c>
      <c r="C73" s="7">
        <f t="shared" si="6"/>
        <v>11</v>
      </c>
      <c r="D73" s="7" t="str">
        <f t="shared" si="7"/>
        <v>Mar</v>
      </c>
      <c r="E73" s="7">
        <f t="shared" si="8"/>
        <v>2</v>
      </c>
      <c r="F73" s="7">
        <f t="shared" si="11"/>
        <v>3</v>
      </c>
      <c r="G73" s="7" t="str">
        <f t="shared" si="9"/>
        <v>Mon</v>
      </c>
      <c r="H73" s="2">
        <v>175</v>
      </c>
    </row>
    <row r="74" spans="2:8" x14ac:dyDescent="0.2">
      <c r="B74" s="6">
        <f t="shared" si="10"/>
        <v>41345</v>
      </c>
      <c r="C74" s="7">
        <f t="shared" si="6"/>
        <v>12</v>
      </c>
      <c r="D74" s="7" t="str">
        <f t="shared" si="7"/>
        <v>Mar</v>
      </c>
      <c r="E74" s="7">
        <f t="shared" si="8"/>
        <v>3</v>
      </c>
      <c r="F74" s="7">
        <f t="shared" si="11"/>
        <v>3</v>
      </c>
      <c r="G74" s="7" t="str">
        <f t="shared" si="9"/>
        <v>Tue</v>
      </c>
      <c r="H74" s="2">
        <v>233</v>
      </c>
    </row>
    <row r="75" spans="2:8" x14ac:dyDescent="0.2">
      <c r="B75" s="6">
        <f t="shared" si="10"/>
        <v>41346</v>
      </c>
      <c r="C75" s="7">
        <f t="shared" si="6"/>
        <v>13</v>
      </c>
      <c r="D75" s="7" t="str">
        <f t="shared" si="7"/>
        <v>Mar</v>
      </c>
      <c r="E75" s="7">
        <f t="shared" si="8"/>
        <v>4</v>
      </c>
      <c r="F75" s="7">
        <f t="shared" si="11"/>
        <v>3</v>
      </c>
      <c r="G75" s="7" t="str">
        <f t="shared" si="9"/>
        <v>Wed</v>
      </c>
      <c r="H75" s="2">
        <v>228</v>
      </c>
    </row>
    <row r="76" spans="2:8" x14ac:dyDescent="0.2">
      <c r="B76" s="6">
        <f t="shared" si="10"/>
        <v>41347</v>
      </c>
      <c r="C76" s="7">
        <f t="shared" si="6"/>
        <v>14</v>
      </c>
      <c r="D76" s="7" t="str">
        <f t="shared" si="7"/>
        <v>Mar</v>
      </c>
      <c r="E76" s="7">
        <f t="shared" si="8"/>
        <v>5</v>
      </c>
      <c r="F76" s="7">
        <f t="shared" si="11"/>
        <v>3</v>
      </c>
      <c r="G76" s="7" t="str">
        <f t="shared" si="9"/>
        <v>Thu</v>
      </c>
      <c r="H76" s="2">
        <v>170</v>
      </c>
    </row>
    <row r="77" spans="2:8" x14ac:dyDescent="0.2">
      <c r="B77" s="6">
        <f t="shared" si="10"/>
        <v>41348</v>
      </c>
      <c r="C77" s="7">
        <f t="shared" si="6"/>
        <v>15</v>
      </c>
      <c r="D77" s="7" t="str">
        <f t="shared" si="7"/>
        <v>Mar</v>
      </c>
      <c r="E77" s="7">
        <f t="shared" si="8"/>
        <v>6</v>
      </c>
      <c r="F77" s="7">
        <f t="shared" si="11"/>
        <v>3</v>
      </c>
      <c r="G77" s="7" t="str">
        <f t="shared" si="9"/>
        <v>Fri</v>
      </c>
      <c r="H77" s="2">
        <v>190</v>
      </c>
    </row>
    <row r="78" spans="2:8" x14ac:dyDescent="0.2">
      <c r="B78" s="6">
        <f t="shared" si="10"/>
        <v>41349</v>
      </c>
      <c r="C78" s="7">
        <f t="shared" si="6"/>
        <v>16</v>
      </c>
      <c r="D78" s="7" t="str">
        <f t="shared" si="7"/>
        <v>Mar</v>
      </c>
      <c r="E78" s="7">
        <f t="shared" si="8"/>
        <v>7</v>
      </c>
      <c r="F78" s="7">
        <f t="shared" si="11"/>
        <v>3</v>
      </c>
      <c r="G78" s="7" t="str">
        <f t="shared" si="9"/>
        <v>Sat</v>
      </c>
      <c r="H78" s="2">
        <v>220</v>
      </c>
    </row>
    <row r="79" spans="2:8" x14ac:dyDescent="0.2">
      <c r="B79" s="6">
        <f t="shared" si="10"/>
        <v>41350</v>
      </c>
      <c r="C79" s="7">
        <f t="shared" si="6"/>
        <v>17</v>
      </c>
      <c r="D79" s="7" t="str">
        <f t="shared" si="7"/>
        <v>Mar</v>
      </c>
      <c r="E79" s="7">
        <f t="shared" si="8"/>
        <v>1</v>
      </c>
      <c r="F79" s="7">
        <f t="shared" si="11"/>
        <v>4</v>
      </c>
      <c r="G79" s="7" t="str">
        <f t="shared" si="9"/>
        <v>Sun</v>
      </c>
      <c r="H79" s="2">
        <v>204</v>
      </c>
    </row>
    <row r="80" spans="2:8" x14ac:dyDescent="0.2">
      <c r="B80" s="6">
        <f t="shared" si="10"/>
        <v>41351</v>
      </c>
      <c r="C80" s="7">
        <f t="shared" si="6"/>
        <v>18</v>
      </c>
      <c r="D80" s="7" t="str">
        <f t="shared" si="7"/>
        <v>Mar</v>
      </c>
      <c r="E80" s="7">
        <f t="shared" si="8"/>
        <v>2</v>
      </c>
      <c r="F80" s="7">
        <f t="shared" si="11"/>
        <v>4</v>
      </c>
      <c r="G80" s="7" t="str">
        <f t="shared" si="9"/>
        <v>Mon</v>
      </c>
      <c r="H80" s="2">
        <v>214</v>
      </c>
    </row>
    <row r="81" spans="2:8" x14ac:dyDescent="0.2">
      <c r="B81" s="6">
        <f t="shared" si="10"/>
        <v>41352</v>
      </c>
      <c r="C81" s="7">
        <f t="shared" si="6"/>
        <v>19</v>
      </c>
      <c r="D81" s="7" t="str">
        <f t="shared" si="7"/>
        <v>Mar</v>
      </c>
      <c r="E81" s="7">
        <f t="shared" si="8"/>
        <v>3</v>
      </c>
      <c r="F81" s="7">
        <f t="shared" si="11"/>
        <v>4</v>
      </c>
      <c r="G81" s="7" t="str">
        <f t="shared" si="9"/>
        <v>Tue</v>
      </c>
      <c r="H81" s="2">
        <v>213</v>
      </c>
    </row>
    <row r="82" spans="2:8" x14ac:dyDescent="0.2">
      <c r="B82" s="6">
        <f t="shared" si="10"/>
        <v>41353</v>
      </c>
      <c r="C82" s="7">
        <f t="shared" si="6"/>
        <v>20</v>
      </c>
      <c r="D82" s="7" t="str">
        <f t="shared" si="7"/>
        <v>Mar</v>
      </c>
      <c r="E82" s="7">
        <f t="shared" si="8"/>
        <v>4</v>
      </c>
      <c r="F82" s="7">
        <f t="shared" si="11"/>
        <v>4</v>
      </c>
      <c r="G82" s="7" t="str">
        <f t="shared" si="9"/>
        <v>Wed</v>
      </c>
      <c r="H82" s="2">
        <v>190</v>
      </c>
    </row>
    <row r="83" spans="2:8" x14ac:dyDescent="0.2">
      <c r="B83" s="6">
        <f t="shared" si="10"/>
        <v>41354</v>
      </c>
      <c r="C83" s="7">
        <f t="shared" si="6"/>
        <v>21</v>
      </c>
      <c r="D83" s="7" t="str">
        <f t="shared" si="7"/>
        <v>Mar</v>
      </c>
      <c r="E83" s="7">
        <f t="shared" si="8"/>
        <v>5</v>
      </c>
      <c r="F83" s="7">
        <f t="shared" si="11"/>
        <v>4</v>
      </c>
      <c r="G83" s="7" t="str">
        <f t="shared" si="9"/>
        <v>Thu</v>
      </c>
      <c r="H83" s="2">
        <v>218</v>
      </c>
    </row>
    <row r="84" spans="2:8" x14ac:dyDescent="0.2">
      <c r="B84" s="6">
        <f t="shared" si="10"/>
        <v>41355</v>
      </c>
      <c r="C84" s="7">
        <f t="shared" si="6"/>
        <v>22</v>
      </c>
      <c r="D84" s="7" t="str">
        <f t="shared" si="7"/>
        <v>Mar</v>
      </c>
      <c r="E84" s="7">
        <f t="shared" si="8"/>
        <v>6</v>
      </c>
      <c r="F84" s="7">
        <f t="shared" si="11"/>
        <v>4</v>
      </c>
      <c r="G84" s="7" t="str">
        <f t="shared" si="9"/>
        <v>Fri</v>
      </c>
      <c r="H84" s="2">
        <v>213</v>
      </c>
    </row>
    <row r="85" spans="2:8" x14ac:dyDescent="0.2">
      <c r="B85" s="6">
        <f t="shared" si="10"/>
        <v>41356</v>
      </c>
      <c r="C85" s="7">
        <f t="shared" si="6"/>
        <v>23</v>
      </c>
      <c r="D85" s="7" t="str">
        <f t="shared" si="7"/>
        <v>Mar</v>
      </c>
      <c r="E85" s="7">
        <f t="shared" si="8"/>
        <v>7</v>
      </c>
      <c r="F85" s="7">
        <f t="shared" si="11"/>
        <v>4</v>
      </c>
      <c r="G85" s="7" t="str">
        <f t="shared" si="9"/>
        <v>Sat</v>
      </c>
      <c r="H85" s="2">
        <v>209</v>
      </c>
    </row>
    <row r="86" spans="2:8" x14ac:dyDescent="0.2">
      <c r="B86" s="6">
        <f t="shared" si="10"/>
        <v>41357</v>
      </c>
      <c r="C86" s="7">
        <f t="shared" si="6"/>
        <v>24</v>
      </c>
      <c r="D86" s="7" t="str">
        <f t="shared" si="7"/>
        <v>Mar</v>
      </c>
      <c r="E86" s="7">
        <f t="shared" si="8"/>
        <v>1</v>
      </c>
      <c r="F86" s="7">
        <f t="shared" si="11"/>
        <v>5</v>
      </c>
      <c r="G86" s="7" t="str">
        <f t="shared" si="9"/>
        <v>Sun</v>
      </c>
      <c r="H86" s="2">
        <v>166</v>
      </c>
    </row>
    <row r="87" spans="2:8" x14ac:dyDescent="0.2">
      <c r="B87" s="6">
        <f t="shared" si="10"/>
        <v>41358</v>
      </c>
      <c r="C87" s="7">
        <f t="shared" si="6"/>
        <v>25</v>
      </c>
      <c r="D87" s="7" t="str">
        <f t="shared" si="7"/>
        <v>Mar</v>
      </c>
      <c r="E87" s="7">
        <f t="shared" si="8"/>
        <v>2</v>
      </c>
      <c r="F87" s="7">
        <f t="shared" si="11"/>
        <v>5</v>
      </c>
      <c r="G87" s="7" t="str">
        <f t="shared" si="9"/>
        <v>Mon</v>
      </c>
      <c r="H87" s="2">
        <v>201</v>
      </c>
    </row>
    <row r="88" spans="2:8" x14ac:dyDescent="0.2">
      <c r="B88" s="6">
        <f t="shared" si="10"/>
        <v>41359</v>
      </c>
      <c r="C88" s="7">
        <f t="shared" si="6"/>
        <v>26</v>
      </c>
      <c r="D88" s="7" t="str">
        <f t="shared" si="7"/>
        <v>Mar</v>
      </c>
      <c r="E88" s="7">
        <f t="shared" si="8"/>
        <v>3</v>
      </c>
      <c r="F88" s="7">
        <f t="shared" si="11"/>
        <v>5</v>
      </c>
      <c r="G88" s="7" t="str">
        <f t="shared" si="9"/>
        <v>Tue</v>
      </c>
      <c r="H88" s="2">
        <v>191</v>
      </c>
    </row>
    <row r="89" spans="2:8" x14ac:dyDescent="0.2">
      <c r="B89" s="6">
        <f t="shared" si="10"/>
        <v>41360</v>
      </c>
      <c r="C89" s="7">
        <f t="shared" si="6"/>
        <v>27</v>
      </c>
      <c r="D89" s="7" t="str">
        <f t="shared" si="7"/>
        <v>Mar</v>
      </c>
      <c r="E89" s="7">
        <f t="shared" si="8"/>
        <v>4</v>
      </c>
      <c r="F89" s="7">
        <f t="shared" si="11"/>
        <v>5</v>
      </c>
      <c r="G89" s="7" t="str">
        <f t="shared" si="9"/>
        <v>Wed</v>
      </c>
      <c r="H89" s="2">
        <v>197</v>
      </c>
    </row>
    <row r="90" spans="2:8" x14ac:dyDescent="0.2">
      <c r="B90" s="6">
        <f t="shared" si="10"/>
        <v>41361</v>
      </c>
      <c r="C90" s="7">
        <f t="shared" si="6"/>
        <v>28</v>
      </c>
      <c r="D90" s="7" t="str">
        <f t="shared" si="7"/>
        <v>Mar</v>
      </c>
      <c r="E90" s="7">
        <f t="shared" si="8"/>
        <v>5</v>
      </c>
      <c r="F90" s="7">
        <f t="shared" si="11"/>
        <v>5</v>
      </c>
      <c r="G90" s="7" t="str">
        <f t="shared" si="9"/>
        <v>Thu</v>
      </c>
      <c r="H90" s="2">
        <v>226</v>
      </c>
    </row>
    <row r="91" spans="2:8" x14ac:dyDescent="0.2">
      <c r="B91" s="6">
        <f t="shared" si="10"/>
        <v>41362</v>
      </c>
      <c r="C91" s="7">
        <f t="shared" si="6"/>
        <v>29</v>
      </c>
      <c r="D91" s="7" t="str">
        <f t="shared" si="7"/>
        <v>Mar</v>
      </c>
      <c r="E91" s="7">
        <f t="shared" si="8"/>
        <v>6</v>
      </c>
      <c r="F91" s="7">
        <f t="shared" si="11"/>
        <v>5</v>
      </c>
      <c r="G91" s="7" t="str">
        <f t="shared" si="9"/>
        <v>Fri</v>
      </c>
      <c r="H91" s="2">
        <v>173</v>
      </c>
    </row>
    <row r="92" spans="2:8" x14ac:dyDescent="0.2">
      <c r="B92" s="6">
        <f t="shared" si="10"/>
        <v>41363</v>
      </c>
      <c r="C92" s="7">
        <f t="shared" si="6"/>
        <v>30</v>
      </c>
      <c r="D92" s="7" t="str">
        <f t="shared" si="7"/>
        <v>Mar</v>
      </c>
      <c r="E92" s="7">
        <f t="shared" si="8"/>
        <v>7</v>
      </c>
      <c r="F92" s="7">
        <f t="shared" si="11"/>
        <v>5</v>
      </c>
      <c r="G92" s="7" t="str">
        <f t="shared" si="9"/>
        <v>Sat</v>
      </c>
      <c r="H92" s="2">
        <v>233</v>
      </c>
    </row>
    <row r="93" spans="2:8" x14ac:dyDescent="0.2">
      <c r="B93" s="6">
        <f t="shared" si="10"/>
        <v>41364</v>
      </c>
      <c r="C93" s="7">
        <f t="shared" si="6"/>
        <v>31</v>
      </c>
      <c r="D93" s="7" t="str">
        <f t="shared" si="7"/>
        <v>Mar</v>
      </c>
      <c r="E93" s="7">
        <f t="shared" si="8"/>
        <v>1</v>
      </c>
      <c r="F93" s="7">
        <f t="shared" si="11"/>
        <v>6</v>
      </c>
      <c r="G93" s="7" t="str">
        <f t="shared" si="9"/>
        <v>Sun</v>
      </c>
      <c r="H93" s="2">
        <v>227</v>
      </c>
    </row>
    <row r="94" spans="2:8" x14ac:dyDescent="0.2">
      <c r="B94" s="6">
        <f t="shared" si="10"/>
        <v>41365</v>
      </c>
      <c r="C94" s="7">
        <f t="shared" si="6"/>
        <v>1</v>
      </c>
      <c r="D94" s="7" t="str">
        <f t="shared" si="7"/>
        <v>Apr</v>
      </c>
      <c r="E94" s="7">
        <f t="shared" si="8"/>
        <v>2</v>
      </c>
      <c r="F94" s="7">
        <f t="shared" si="11"/>
        <v>1</v>
      </c>
      <c r="G94" s="7" t="str">
        <f t="shared" si="9"/>
        <v>Mon</v>
      </c>
      <c r="H94" s="2">
        <v>226</v>
      </c>
    </row>
    <row r="95" spans="2:8" x14ac:dyDescent="0.2">
      <c r="B95" s="6">
        <f t="shared" si="10"/>
        <v>41366</v>
      </c>
      <c r="C95" s="7">
        <f t="shared" si="6"/>
        <v>2</v>
      </c>
      <c r="D95" s="7" t="str">
        <f t="shared" si="7"/>
        <v>Apr</v>
      </c>
      <c r="E95" s="7">
        <f t="shared" si="8"/>
        <v>3</v>
      </c>
      <c r="F95" s="7">
        <f t="shared" si="11"/>
        <v>1</v>
      </c>
      <c r="G95" s="7" t="str">
        <f t="shared" si="9"/>
        <v>Tue</v>
      </c>
      <c r="H95" s="2">
        <v>217</v>
      </c>
    </row>
    <row r="96" spans="2:8" x14ac:dyDescent="0.2">
      <c r="B96" s="6">
        <f t="shared" si="10"/>
        <v>41367</v>
      </c>
      <c r="C96" s="7">
        <f t="shared" si="6"/>
        <v>3</v>
      </c>
      <c r="D96" s="7" t="str">
        <f t="shared" si="7"/>
        <v>Apr</v>
      </c>
      <c r="E96" s="7">
        <f t="shared" si="8"/>
        <v>4</v>
      </c>
      <c r="F96" s="7">
        <f t="shared" si="11"/>
        <v>1</v>
      </c>
      <c r="G96" s="7" t="str">
        <f t="shared" si="9"/>
        <v>Wed</v>
      </c>
      <c r="H96" s="2">
        <v>234</v>
      </c>
    </row>
    <row r="97" spans="2:8" x14ac:dyDescent="0.2">
      <c r="B97" s="6">
        <f t="shared" si="10"/>
        <v>41368</v>
      </c>
      <c r="C97" s="7">
        <f t="shared" si="6"/>
        <v>4</v>
      </c>
      <c r="D97" s="7" t="str">
        <f t="shared" si="7"/>
        <v>Apr</v>
      </c>
      <c r="E97" s="7">
        <f t="shared" si="8"/>
        <v>5</v>
      </c>
      <c r="F97" s="7">
        <f t="shared" si="11"/>
        <v>1</v>
      </c>
      <c r="G97" s="7" t="str">
        <f t="shared" si="9"/>
        <v>Thu</v>
      </c>
      <c r="H97" s="2">
        <v>212</v>
      </c>
    </row>
    <row r="98" spans="2:8" x14ac:dyDescent="0.2">
      <c r="B98" s="6">
        <f t="shared" si="10"/>
        <v>41369</v>
      </c>
      <c r="C98" s="7">
        <f t="shared" si="6"/>
        <v>5</v>
      </c>
      <c r="D98" s="7" t="str">
        <f t="shared" si="7"/>
        <v>Apr</v>
      </c>
      <c r="E98" s="7">
        <f t="shared" si="8"/>
        <v>6</v>
      </c>
      <c r="F98" s="7">
        <f t="shared" si="11"/>
        <v>1</v>
      </c>
      <c r="G98" s="7" t="str">
        <f t="shared" si="9"/>
        <v>Fri</v>
      </c>
      <c r="H98" s="2">
        <v>233</v>
      </c>
    </row>
    <row r="99" spans="2:8" x14ac:dyDescent="0.2">
      <c r="B99" s="6">
        <f t="shared" si="10"/>
        <v>41370</v>
      </c>
      <c r="C99" s="7">
        <f t="shared" si="6"/>
        <v>6</v>
      </c>
      <c r="D99" s="7" t="str">
        <f t="shared" si="7"/>
        <v>Apr</v>
      </c>
      <c r="E99" s="7">
        <f t="shared" si="8"/>
        <v>7</v>
      </c>
      <c r="F99" s="7">
        <f t="shared" si="11"/>
        <v>1</v>
      </c>
      <c r="G99" s="7" t="str">
        <f t="shared" si="9"/>
        <v>Sat</v>
      </c>
      <c r="H99" s="2">
        <v>172</v>
      </c>
    </row>
    <row r="100" spans="2:8" x14ac:dyDescent="0.2">
      <c r="B100" s="6">
        <f t="shared" si="10"/>
        <v>41371</v>
      </c>
      <c r="C100" s="7">
        <f t="shared" si="6"/>
        <v>7</v>
      </c>
      <c r="D100" s="7" t="str">
        <f t="shared" si="7"/>
        <v>Apr</v>
      </c>
      <c r="E100" s="7">
        <f t="shared" si="8"/>
        <v>1</v>
      </c>
      <c r="F100" s="7">
        <f t="shared" si="11"/>
        <v>2</v>
      </c>
      <c r="G100" s="7" t="str">
        <f t="shared" si="9"/>
        <v>Sun</v>
      </c>
      <c r="H100" s="2">
        <v>166</v>
      </c>
    </row>
    <row r="101" spans="2:8" x14ac:dyDescent="0.2">
      <c r="B101" s="6">
        <f t="shared" si="10"/>
        <v>41372</v>
      </c>
      <c r="C101" s="7">
        <f t="shared" si="6"/>
        <v>8</v>
      </c>
      <c r="D101" s="7" t="str">
        <f t="shared" si="7"/>
        <v>Apr</v>
      </c>
      <c r="E101" s="7">
        <f t="shared" si="8"/>
        <v>2</v>
      </c>
      <c r="F101" s="7">
        <f t="shared" si="11"/>
        <v>2</v>
      </c>
      <c r="G101" s="7" t="str">
        <f t="shared" si="9"/>
        <v>Mon</v>
      </c>
      <c r="H101" s="2">
        <v>227</v>
      </c>
    </row>
    <row r="102" spans="2:8" x14ac:dyDescent="0.2">
      <c r="B102" s="6">
        <f t="shared" si="10"/>
        <v>41373</v>
      </c>
      <c r="C102" s="7">
        <f t="shared" si="6"/>
        <v>9</v>
      </c>
      <c r="D102" s="7" t="str">
        <f t="shared" si="7"/>
        <v>Apr</v>
      </c>
      <c r="E102" s="7">
        <f t="shared" si="8"/>
        <v>3</v>
      </c>
      <c r="F102" s="7">
        <f t="shared" si="11"/>
        <v>2</v>
      </c>
      <c r="G102" s="7" t="str">
        <f t="shared" si="9"/>
        <v>Tue</v>
      </c>
      <c r="H102" s="2">
        <v>207</v>
      </c>
    </row>
    <row r="103" spans="2:8" x14ac:dyDescent="0.2">
      <c r="B103" s="6">
        <f t="shared" si="10"/>
        <v>41374</v>
      </c>
      <c r="C103" s="7">
        <f t="shared" si="6"/>
        <v>10</v>
      </c>
      <c r="D103" s="7" t="str">
        <f t="shared" si="7"/>
        <v>Apr</v>
      </c>
      <c r="E103" s="7">
        <f t="shared" si="8"/>
        <v>4</v>
      </c>
      <c r="F103" s="7">
        <f t="shared" si="11"/>
        <v>2</v>
      </c>
      <c r="G103" s="7" t="str">
        <f t="shared" si="9"/>
        <v>Wed</v>
      </c>
      <c r="H103" s="2">
        <v>234</v>
      </c>
    </row>
    <row r="104" spans="2:8" x14ac:dyDescent="0.2">
      <c r="B104" s="6">
        <f t="shared" si="10"/>
        <v>41375</v>
      </c>
      <c r="C104" s="7">
        <f t="shared" si="6"/>
        <v>11</v>
      </c>
      <c r="D104" s="7" t="str">
        <f t="shared" si="7"/>
        <v>Apr</v>
      </c>
      <c r="E104" s="7">
        <f t="shared" si="8"/>
        <v>5</v>
      </c>
      <c r="F104" s="7">
        <f t="shared" si="11"/>
        <v>2</v>
      </c>
      <c r="G104" s="7" t="str">
        <f t="shared" si="9"/>
        <v>Thu</v>
      </c>
      <c r="H104" s="2">
        <v>220</v>
      </c>
    </row>
    <row r="105" spans="2:8" x14ac:dyDescent="0.2">
      <c r="B105" s="6">
        <f t="shared" si="10"/>
        <v>41376</v>
      </c>
      <c r="C105" s="7">
        <f t="shared" si="6"/>
        <v>12</v>
      </c>
      <c r="D105" s="7" t="str">
        <f t="shared" si="7"/>
        <v>Apr</v>
      </c>
      <c r="E105" s="7">
        <f t="shared" si="8"/>
        <v>6</v>
      </c>
      <c r="F105" s="7">
        <f t="shared" si="11"/>
        <v>2</v>
      </c>
      <c r="G105" s="7" t="str">
        <f t="shared" si="9"/>
        <v>Fri</v>
      </c>
      <c r="H105" s="2">
        <v>219</v>
      </c>
    </row>
    <row r="106" spans="2:8" x14ac:dyDescent="0.2">
      <c r="B106" s="6">
        <f t="shared" si="10"/>
        <v>41377</v>
      </c>
      <c r="C106" s="7">
        <f t="shared" si="6"/>
        <v>13</v>
      </c>
      <c r="D106" s="7" t="str">
        <f t="shared" si="7"/>
        <v>Apr</v>
      </c>
      <c r="E106" s="7">
        <f t="shared" si="8"/>
        <v>7</v>
      </c>
      <c r="F106" s="7">
        <f t="shared" si="11"/>
        <v>2</v>
      </c>
      <c r="G106" s="7" t="str">
        <f t="shared" si="9"/>
        <v>Sat</v>
      </c>
      <c r="H106" s="2">
        <v>193</v>
      </c>
    </row>
    <row r="107" spans="2:8" x14ac:dyDescent="0.2">
      <c r="B107" s="6">
        <f t="shared" si="10"/>
        <v>41378</v>
      </c>
      <c r="C107" s="7">
        <f t="shared" si="6"/>
        <v>14</v>
      </c>
      <c r="D107" s="7" t="str">
        <f t="shared" si="7"/>
        <v>Apr</v>
      </c>
      <c r="E107" s="7">
        <f t="shared" si="8"/>
        <v>1</v>
      </c>
      <c r="F107" s="7">
        <f t="shared" si="11"/>
        <v>3</v>
      </c>
      <c r="G107" s="7" t="str">
        <f t="shared" si="9"/>
        <v>Sun</v>
      </c>
      <c r="H107" s="2">
        <v>224</v>
      </c>
    </row>
    <row r="108" spans="2:8" x14ac:dyDescent="0.2">
      <c r="B108" s="6">
        <f t="shared" si="10"/>
        <v>41379</v>
      </c>
      <c r="C108" s="7">
        <f t="shared" si="6"/>
        <v>15</v>
      </c>
      <c r="D108" s="7" t="str">
        <f t="shared" si="7"/>
        <v>Apr</v>
      </c>
      <c r="E108" s="7">
        <f t="shared" si="8"/>
        <v>2</v>
      </c>
      <c r="F108" s="7">
        <f t="shared" si="11"/>
        <v>3</v>
      </c>
      <c r="G108" s="7" t="str">
        <f t="shared" si="9"/>
        <v>Mon</v>
      </c>
      <c r="H108" s="2">
        <v>180</v>
      </c>
    </row>
    <row r="109" spans="2:8" x14ac:dyDescent="0.2">
      <c r="B109" s="6">
        <f t="shared" si="10"/>
        <v>41380</v>
      </c>
      <c r="C109" s="7">
        <f t="shared" si="6"/>
        <v>16</v>
      </c>
      <c r="D109" s="7" t="str">
        <f t="shared" si="7"/>
        <v>Apr</v>
      </c>
      <c r="E109" s="7">
        <f t="shared" si="8"/>
        <v>3</v>
      </c>
      <c r="F109" s="7">
        <f t="shared" si="11"/>
        <v>3</v>
      </c>
      <c r="G109" s="7" t="str">
        <f t="shared" si="9"/>
        <v>Tue</v>
      </c>
      <c r="H109" s="2">
        <v>229</v>
      </c>
    </row>
    <row r="110" spans="2:8" x14ac:dyDescent="0.2">
      <c r="B110" s="6">
        <f t="shared" si="10"/>
        <v>41381</v>
      </c>
      <c r="C110" s="7">
        <f t="shared" si="6"/>
        <v>17</v>
      </c>
      <c r="D110" s="7" t="str">
        <f t="shared" si="7"/>
        <v>Apr</v>
      </c>
      <c r="E110" s="7">
        <f t="shared" si="8"/>
        <v>4</v>
      </c>
      <c r="F110" s="7">
        <f t="shared" si="11"/>
        <v>3</v>
      </c>
      <c r="G110" s="7" t="str">
        <f t="shared" si="9"/>
        <v>Wed</v>
      </c>
      <c r="H110" s="2">
        <v>180</v>
      </c>
    </row>
    <row r="111" spans="2:8" x14ac:dyDescent="0.2">
      <c r="B111" s="6">
        <f t="shared" si="10"/>
        <v>41382</v>
      </c>
      <c r="C111" s="7">
        <f t="shared" si="6"/>
        <v>18</v>
      </c>
      <c r="D111" s="7" t="str">
        <f t="shared" si="7"/>
        <v>Apr</v>
      </c>
      <c r="E111" s="7">
        <f t="shared" si="8"/>
        <v>5</v>
      </c>
      <c r="F111" s="7">
        <f t="shared" si="11"/>
        <v>3</v>
      </c>
      <c r="G111" s="7" t="str">
        <f t="shared" si="9"/>
        <v>Thu</v>
      </c>
      <c r="H111" s="2">
        <v>188</v>
      </c>
    </row>
    <row r="112" spans="2:8" x14ac:dyDescent="0.2">
      <c r="B112" s="6">
        <f t="shared" si="10"/>
        <v>41383</v>
      </c>
      <c r="C112" s="7">
        <f t="shared" si="6"/>
        <v>19</v>
      </c>
      <c r="D112" s="7" t="str">
        <f t="shared" si="7"/>
        <v>Apr</v>
      </c>
      <c r="E112" s="7">
        <f t="shared" si="8"/>
        <v>6</v>
      </c>
      <c r="F112" s="7">
        <f t="shared" si="11"/>
        <v>3</v>
      </c>
      <c r="G112" s="7" t="str">
        <f t="shared" si="9"/>
        <v>Fri</v>
      </c>
      <c r="H112" s="2">
        <v>179</v>
      </c>
    </row>
    <row r="113" spans="2:8" x14ac:dyDescent="0.2">
      <c r="B113" s="6">
        <f t="shared" si="10"/>
        <v>41384</v>
      </c>
      <c r="C113" s="7">
        <f t="shared" si="6"/>
        <v>20</v>
      </c>
      <c r="D113" s="7" t="str">
        <f t="shared" si="7"/>
        <v>Apr</v>
      </c>
      <c r="E113" s="7">
        <f t="shared" si="8"/>
        <v>7</v>
      </c>
      <c r="F113" s="7">
        <f t="shared" si="11"/>
        <v>3</v>
      </c>
      <c r="G113" s="7" t="str">
        <f t="shared" si="9"/>
        <v>Sat</v>
      </c>
      <c r="H113" s="2">
        <v>206</v>
      </c>
    </row>
    <row r="114" spans="2:8" x14ac:dyDescent="0.2">
      <c r="B114" s="6">
        <f t="shared" si="10"/>
        <v>41385</v>
      </c>
      <c r="C114" s="7">
        <f t="shared" si="6"/>
        <v>21</v>
      </c>
      <c r="D114" s="7" t="str">
        <f t="shared" si="7"/>
        <v>Apr</v>
      </c>
      <c r="E114" s="7">
        <f t="shared" si="8"/>
        <v>1</v>
      </c>
      <c r="F114" s="7">
        <f t="shared" si="11"/>
        <v>4</v>
      </c>
      <c r="G114" s="7" t="str">
        <f t="shared" si="9"/>
        <v>Sun</v>
      </c>
      <c r="H114" s="2">
        <v>229</v>
      </c>
    </row>
    <row r="115" spans="2:8" x14ac:dyDescent="0.2">
      <c r="B115" s="6">
        <f t="shared" si="10"/>
        <v>41386</v>
      </c>
      <c r="C115" s="7">
        <f t="shared" si="6"/>
        <v>22</v>
      </c>
      <c r="D115" s="7" t="str">
        <f t="shared" si="7"/>
        <v>Apr</v>
      </c>
      <c r="E115" s="7">
        <f t="shared" si="8"/>
        <v>2</v>
      </c>
      <c r="F115" s="7">
        <f t="shared" si="11"/>
        <v>4</v>
      </c>
      <c r="G115" s="7" t="str">
        <f t="shared" si="9"/>
        <v>Mon</v>
      </c>
      <c r="H115" s="2">
        <v>165</v>
      </c>
    </row>
    <row r="116" spans="2:8" x14ac:dyDescent="0.2">
      <c r="B116" s="6">
        <f t="shared" si="10"/>
        <v>41387</v>
      </c>
      <c r="C116" s="7">
        <f t="shared" si="6"/>
        <v>23</v>
      </c>
      <c r="D116" s="7" t="str">
        <f t="shared" si="7"/>
        <v>Apr</v>
      </c>
      <c r="E116" s="7">
        <f t="shared" si="8"/>
        <v>3</v>
      </c>
      <c r="F116" s="7">
        <f t="shared" si="11"/>
        <v>4</v>
      </c>
      <c r="G116" s="7" t="str">
        <f t="shared" si="9"/>
        <v>Tue</v>
      </c>
      <c r="H116" s="2">
        <v>202</v>
      </c>
    </row>
    <row r="117" spans="2:8" x14ac:dyDescent="0.2">
      <c r="B117" s="6">
        <f t="shared" si="10"/>
        <v>41388</v>
      </c>
      <c r="C117" s="7">
        <f t="shared" si="6"/>
        <v>24</v>
      </c>
      <c r="D117" s="7" t="str">
        <f t="shared" si="7"/>
        <v>Apr</v>
      </c>
      <c r="E117" s="7">
        <f t="shared" si="8"/>
        <v>4</v>
      </c>
      <c r="F117" s="7">
        <f t="shared" si="11"/>
        <v>4</v>
      </c>
      <c r="G117" s="7" t="str">
        <f t="shared" si="9"/>
        <v>Wed</v>
      </c>
      <c r="H117" s="2">
        <v>214</v>
      </c>
    </row>
    <row r="118" spans="2:8" x14ac:dyDescent="0.2">
      <c r="B118" s="6">
        <f t="shared" si="10"/>
        <v>41389</v>
      </c>
      <c r="C118" s="7">
        <f t="shared" si="6"/>
        <v>25</v>
      </c>
      <c r="D118" s="7" t="str">
        <f t="shared" si="7"/>
        <v>Apr</v>
      </c>
      <c r="E118" s="7">
        <f t="shared" si="8"/>
        <v>5</v>
      </c>
      <c r="F118" s="7">
        <f t="shared" si="11"/>
        <v>4</v>
      </c>
      <c r="G118" s="7" t="str">
        <f t="shared" si="9"/>
        <v>Thu</v>
      </c>
      <c r="H118" s="2">
        <v>174</v>
      </c>
    </row>
    <row r="119" spans="2:8" x14ac:dyDescent="0.2">
      <c r="B119" s="6">
        <f t="shared" si="10"/>
        <v>41390</v>
      </c>
      <c r="C119" s="7">
        <f t="shared" si="6"/>
        <v>26</v>
      </c>
      <c r="D119" s="7" t="str">
        <f t="shared" si="7"/>
        <v>Apr</v>
      </c>
      <c r="E119" s="7">
        <f t="shared" si="8"/>
        <v>6</v>
      </c>
      <c r="F119" s="7">
        <f t="shared" si="11"/>
        <v>4</v>
      </c>
      <c r="G119" s="7" t="str">
        <f t="shared" si="9"/>
        <v>Fri</v>
      </c>
      <c r="H119" s="2">
        <v>210</v>
      </c>
    </row>
    <row r="120" spans="2:8" x14ac:dyDescent="0.2">
      <c r="B120" s="6">
        <f t="shared" si="10"/>
        <v>41391</v>
      </c>
      <c r="C120" s="7">
        <f t="shared" si="6"/>
        <v>27</v>
      </c>
      <c r="D120" s="7" t="str">
        <f t="shared" si="7"/>
        <v>Apr</v>
      </c>
      <c r="E120" s="7">
        <f t="shared" si="8"/>
        <v>7</v>
      </c>
      <c r="F120" s="7">
        <f t="shared" si="11"/>
        <v>4</v>
      </c>
      <c r="G120" s="7" t="str">
        <f t="shared" si="9"/>
        <v>Sat</v>
      </c>
      <c r="H120" s="2">
        <v>198</v>
      </c>
    </row>
    <row r="121" spans="2:8" x14ac:dyDescent="0.2">
      <c r="B121" s="6">
        <f t="shared" si="10"/>
        <v>41392</v>
      </c>
      <c r="C121" s="7">
        <f t="shared" si="6"/>
        <v>28</v>
      </c>
      <c r="D121" s="7" t="str">
        <f t="shared" si="7"/>
        <v>Apr</v>
      </c>
      <c r="E121" s="7">
        <f t="shared" si="8"/>
        <v>1</v>
      </c>
      <c r="F121" s="7">
        <f t="shared" si="11"/>
        <v>5</v>
      </c>
      <c r="G121" s="7" t="str">
        <f t="shared" si="9"/>
        <v>Sun</v>
      </c>
      <c r="H121" s="2">
        <v>233</v>
      </c>
    </row>
    <row r="122" spans="2:8" x14ac:dyDescent="0.2">
      <c r="B122" s="6">
        <f t="shared" si="10"/>
        <v>41393</v>
      </c>
      <c r="C122" s="7">
        <f t="shared" si="6"/>
        <v>29</v>
      </c>
      <c r="D122" s="7" t="str">
        <f t="shared" si="7"/>
        <v>Apr</v>
      </c>
      <c r="E122" s="7">
        <f t="shared" si="8"/>
        <v>2</v>
      </c>
      <c r="F122" s="7">
        <f t="shared" si="11"/>
        <v>5</v>
      </c>
      <c r="G122" s="7" t="str">
        <f t="shared" si="9"/>
        <v>Mon</v>
      </c>
      <c r="H122" s="2">
        <v>171</v>
      </c>
    </row>
    <row r="123" spans="2:8" x14ac:dyDescent="0.2">
      <c r="B123" s="6">
        <f t="shared" si="10"/>
        <v>41394</v>
      </c>
      <c r="C123" s="7">
        <f t="shared" si="6"/>
        <v>30</v>
      </c>
      <c r="D123" s="7" t="str">
        <f t="shared" si="7"/>
        <v>Apr</v>
      </c>
      <c r="E123" s="7">
        <f t="shared" si="8"/>
        <v>3</v>
      </c>
      <c r="F123" s="7">
        <f t="shared" si="11"/>
        <v>5</v>
      </c>
      <c r="G123" s="7" t="str">
        <f t="shared" si="9"/>
        <v>Tue</v>
      </c>
      <c r="H123" s="2">
        <v>180</v>
      </c>
    </row>
    <row r="124" spans="2:8" x14ac:dyDescent="0.2">
      <c r="B124" s="6">
        <f t="shared" si="10"/>
        <v>41395</v>
      </c>
      <c r="C124" s="7">
        <f t="shared" si="6"/>
        <v>1</v>
      </c>
      <c r="D124" s="7" t="str">
        <f t="shared" si="7"/>
        <v>May</v>
      </c>
      <c r="E124" s="7">
        <f t="shared" si="8"/>
        <v>4</v>
      </c>
      <c r="F124" s="7">
        <f t="shared" si="11"/>
        <v>1</v>
      </c>
      <c r="G124" s="7" t="str">
        <f t="shared" si="9"/>
        <v>Wed</v>
      </c>
      <c r="H124" s="2">
        <v>208</v>
      </c>
    </row>
    <row r="125" spans="2:8" x14ac:dyDescent="0.2">
      <c r="B125" s="6">
        <f t="shared" si="10"/>
        <v>41396</v>
      </c>
      <c r="C125" s="7">
        <f t="shared" si="6"/>
        <v>2</v>
      </c>
      <c r="D125" s="7" t="str">
        <f t="shared" si="7"/>
        <v>May</v>
      </c>
      <c r="E125" s="7">
        <f t="shared" si="8"/>
        <v>5</v>
      </c>
      <c r="F125" s="7">
        <f t="shared" si="11"/>
        <v>1</v>
      </c>
      <c r="G125" s="7" t="str">
        <f t="shared" si="9"/>
        <v>Thu</v>
      </c>
      <c r="H125" s="2">
        <v>224</v>
      </c>
    </row>
    <row r="126" spans="2:8" x14ac:dyDescent="0.2">
      <c r="B126" s="6">
        <f t="shared" si="10"/>
        <v>41397</v>
      </c>
      <c r="C126" s="7">
        <f t="shared" si="6"/>
        <v>3</v>
      </c>
      <c r="D126" s="7" t="str">
        <f t="shared" si="7"/>
        <v>May</v>
      </c>
      <c r="E126" s="7">
        <f t="shared" si="8"/>
        <v>6</v>
      </c>
      <c r="F126" s="7">
        <f t="shared" si="11"/>
        <v>1</v>
      </c>
      <c r="G126" s="7" t="str">
        <f t="shared" si="9"/>
        <v>Fri</v>
      </c>
      <c r="H126" s="2">
        <v>189</v>
      </c>
    </row>
    <row r="127" spans="2:8" x14ac:dyDescent="0.2">
      <c r="B127" s="6">
        <f t="shared" si="10"/>
        <v>41398</v>
      </c>
      <c r="C127" s="7">
        <f t="shared" si="6"/>
        <v>4</v>
      </c>
      <c r="D127" s="7" t="str">
        <f t="shared" si="7"/>
        <v>May</v>
      </c>
      <c r="E127" s="7">
        <f t="shared" si="8"/>
        <v>7</v>
      </c>
      <c r="F127" s="7">
        <f t="shared" si="11"/>
        <v>1</v>
      </c>
      <c r="G127" s="7" t="str">
        <f t="shared" si="9"/>
        <v>Sat</v>
      </c>
      <c r="H127" s="2">
        <v>182</v>
      </c>
    </row>
    <row r="128" spans="2:8" x14ac:dyDescent="0.2">
      <c r="B128" s="6">
        <f t="shared" si="10"/>
        <v>41399</v>
      </c>
      <c r="C128" s="7">
        <f t="shared" si="6"/>
        <v>5</v>
      </c>
      <c r="D128" s="7" t="str">
        <f t="shared" si="7"/>
        <v>May</v>
      </c>
      <c r="E128" s="7">
        <f t="shared" si="8"/>
        <v>1</v>
      </c>
      <c r="F128" s="7">
        <f t="shared" si="11"/>
        <v>2</v>
      </c>
      <c r="G128" s="7" t="str">
        <f t="shared" si="9"/>
        <v>Sun</v>
      </c>
      <c r="H128" s="2">
        <v>177</v>
      </c>
    </row>
    <row r="129" spans="2:8" x14ac:dyDescent="0.2">
      <c r="B129" s="6">
        <f t="shared" si="10"/>
        <v>41400</v>
      </c>
      <c r="C129" s="7">
        <f t="shared" si="6"/>
        <v>6</v>
      </c>
      <c r="D129" s="7" t="str">
        <f t="shared" si="7"/>
        <v>May</v>
      </c>
      <c r="E129" s="7">
        <f t="shared" si="8"/>
        <v>2</v>
      </c>
      <c r="F129" s="7">
        <f t="shared" si="11"/>
        <v>2</v>
      </c>
      <c r="G129" s="7" t="str">
        <f t="shared" si="9"/>
        <v>Mon</v>
      </c>
      <c r="H129" s="2">
        <v>205</v>
      </c>
    </row>
    <row r="130" spans="2:8" x14ac:dyDescent="0.2">
      <c r="B130" s="6">
        <f t="shared" si="10"/>
        <v>41401</v>
      </c>
      <c r="C130" s="7">
        <f t="shared" si="6"/>
        <v>7</v>
      </c>
      <c r="D130" s="7" t="str">
        <f t="shared" si="7"/>
        <v>May</v>
      </c>
      <c r="E130" s="7">
        <f t="shared" si="8"/>
        <v>3</v>
      </c>
      <c r="F130" s="7">
        <f t="shared" si="11"/>
        <v>2</v>
      </c>
      <c r="G130" s="7" t="str">
        <f t="shared" si="9"/>
        <v>Tue</v>
      </c>
      <c r="H130" s="2">
        <v>218</v>
      </c>
    </row>
    <row r="131" spans="2:8" x14ac:dyDescent="0.2">
      <c r="B131" s="6">
        <f t="shared" si="10"/>
        <v>41402</v>
      </c>
      <c r="C131" s="7">
        <f t="shared" si="6"/>
        <v>8</v>
      </c>
      <c r="D131" s="7" t="str">
        <f t="shared" si="7"/>
        <v>May</v>
      </c>
      <c r="E131" s="7">
        <f t="shared" si="8"/>
        <v>4</v>
      </c>
      <c r="F131" s="7">
        <f t="shared" si="11"/>
        <v>2</v>
      </c>
      <c r="G131" s="7" t="str">
        <f t="shared" si="9"/>
        <v>Wed</v>
      </c>
      <c r="H131" s="2">
        <v>180</v>
      </c>
    </row>
    <row r="132" spans="2:8" x14ac:dyDescent="0.2">
      <c r="B132" s="6">
        <f t="shared" si="10"/>
        <v>41403</v>
      </c>
      <c r="C132" s="7">
        <f t="shared" si="6"/>
        <v>9</v>
      </c>
      <c r="D132" s="7" t="str">
        <f t="shared" si="7"/>
        <v>May</v>
      </c>
      <c r="E132" s="7">
        <f t="shared" si="8"/>
        <v>5</v>
      </c>
      <c r="F132" s="7">
        <f t="shared" si="11"/>
        <v>2</v>
      </c>
      <c r="G132" s="7" t="str">
        <f t="shared" si="9"/>
        <v>Thu</v>
      </c>
      <c r="H132" s="2">
        <v>180</v>
      </c>
    </row>
    <row r="133" spans="2:8" x14ac:dyDescent="0.2">
      <c r="B133" s="6">
        <f t="shared" si="10"/>
        <v>41404</v>
      </c>
      <c r="C133" s="7">
        <f t="shared" ref="C133:C196" si="12">DAY(B133)</f>
        <v>10</v>
      </c>
      <c r="D133" s="7" t="str">
        <f t="shared" ref="D133:D196" si="13">TEXT(B133,"mmm")</f>
        <v>May</v>
      </c>
      <c r="E133" s="7">
        <f t="shared" ref="E133:E196" si="14">WEEKDAY(B133)</f>
        <v>6</v>
      </c>
      <c r="F133" s="7">
        <f t="shared" si="11"/>
        <v>2</v>
      </c>
      <c r="G133" s="7" t="str">
        <f t="shared" ref="G133:G196" si="15">TEXT(B133,"ddd")</f>
        <v>Fri</v>
      </c>
      <c r="H133" s="2">
        <v>169</v>
      </c>
    </row>
    <row r="134" spans="2:8" x14ac:dyDescent="0.2">
      <c r="B134" s="6">
        <f t="shared" ref="B134:B197" si="16">B133+1</f>
        <v>41405</v>
      </c>
      <c r="C134" s="7">
        <f t="shared" si="12"/>
        <v>11</v>
      </c>
      <c r="D134" s="7" t="str">
        <f t="shared" si="13"/>
        <v>May</v>
      </c>
      <c r="E134" s="7">
        <f t="shared" si="14"/>
        <v>7</v>
      </c>
      <c r="F134" s="7">
        <f t="shared" ref="F134:F197" si="17">IF(D134=D133,IF(E134=1,F133+1,F133),1)</f>
        <v>2</v>
      </c>
      <c r="G134" s="7" t="str">
        <f t="shared" si="15"/>
        <v>Sat</v>
      </c>
      <c r="H134" s="2">
        <v>231</v>
      </c>
    </row>
    <row r="135" spans="2:8" x14ac:dyDescent="0.2">
      <c r="B135" s="6">
        <f t="shared" si="16"/>
        <v>41406</v>
      </c>
      <c r="C135" s="7">
        <f t="shared" si="12"/>
        <v>12</v>
      </c>
      <c r="D135" s="7" t="str">
        <f t="shared" si="13"/>
        <v>May</v>
      </c>
      <c r="E135" s="7">
        <f t="shared" si="14"/>
        <v>1</v>
      </c>
      <c r="F135" s="7">
        <f t="shared" si="17"/>
        <v>3</v>
      </c>
      <c r="G135" s="7" t="str">
        <f t="shared" si="15"/>
        <v>Sun</v>
      </c>
      <c r="H135" s="2">
        <v>179</v>
      </c>
    </row>
    <row r="136" spans="2:8" x14ac:dyDescent="0.2">
      <c r="B136" s="6">
        <f t="shared" si="16"/>
        <v>41407</v>
      </c>
      <c r="C136" s="7">
        <f t="shared" si="12"/>
        <v>13</v>
      </c>
      <c r="D136" s="7" t="str">
        <f t="shared" si="13"/>
        <v>May</v>
      </c>
      <c r="E136" s="7">
        <f t="shared" si="14"/>
        <v>2</v>
      </c>
      <c r="F136" s="7">
        <f t="shared" si="17"/>
        <v>3</v>
      </c>
      <c r="G136" s="7" t="str">
        <f t="shared" si="15"/>
        <v>Mon</v>
      </c>
      <c r="H136" s="2">
        <v>189</v>
      </c>
    </row>
    <row r="137" spans="2:8" x14ac:dyDescent="0.2">
      <c r="B137" s="6">
        <f t="shared" si="16"/>
        <v>41408</v>
      </c>
      <c r="C137" s="7">
        <f t="shared" si="12"/>
        <v>14</v>
      </c>
      <c r="D137" s="7" t="str">
        <f t="shared" si="13"/>
        <v>May</v>
      </c>
      <c r="E137" s="7">
        <f t="shared" si="14"/>
        <v>3</v>
      </c>
      <c r="F137" s="7">
        <f t="shared" si="17"/>
        <v>3</v>
      </c>
      <c r="G137" s="7" t="str">
        <f t="shared" si="15"/>
        <v>Tue</v>
      </c>
      <c r="H137" s="2">
        <v>202</v>
      </c>
    </row>
    <row r="138" spans="2:8" x14ac:dyDescent="0.2">
      <c r="B138" s="6">
        <f t="shared" si="16"/>
        <v>41409</v>
      </c>
      <c r="C138" s="7">
        <f t="shared" si="12"/>
        <v>15</v>
      </c>
      <c r="D138" s="7" t="str">
        <f t="shared" si="13"/>
        <v>May</v>
      </c>
      <c r="E138" s="7">
        <f t="shared" si="14"/>
        <v>4</v>
      </c>
      <c r="F138" s="7">
        <f t="shared" si="17"/>
        <v>3</v>
      </c>
      <c r="G138" s="7" t="str">
        <f t="shared" si="15"/>
        <v>Wed</v>
      </c>
      <c r="H138" s="2">
        <v>173</v>
      </c>
    </row>
    <row r="139" spans="2:8" x14ac:dyDescent="0.2">
      <c r="B139" s="6">
        <f t="shared" si="16"/>
        <v>41410</v>
      </c>
      <c r="C139" s="7">
        <f t="shared" si="12"/>
        <v>16</v>
      </c>
      <c r="D139" s="7" t="str">
        <f t="shared" si="13"/>
        <v>May</v>
      </c>
      <c r="E139" s="7">
        <f t="shared" si="14"/>
        <v>5</v>
      </c>
      <c r="F139" s="7">
        <f t="shared" si="17"/>
        <v>3</v>
      </c>
      <c r="G139" s="7" t="str">
        <f t="shared" si="15"/>
        <v>Thu</v>
      </c>
      <c r="H139" s="2">
        <v>195</v>
      </c>
    </row>
    <row r="140" spans="2:8" x14ac:dyDescent="0.2">
      <c r="B140" s="6">
        <f t="shared" si="16"/>
        <v>41411</v>
      </c>
      <c r="C140" s="7">
        <f t="shared" si="12"/>
        <v>17</v>
      </c>
      <c r="D140" s="7" t="str">
        <f t="shared" si="13"/>
        <v>May</v>
      </c>
      <c r="E140" s="7">
        <f t="shared" si="14"/>
        <v>6</v>
      </c>
      <c r="F140" s="7">
        <f t="shared" si="17"/>
        <v>3</v>
      </c>
      <c r="G140" s="7" t="str">
        <f t="shared" si="15"/>
        <v>Fri</v>
      </c>
      <c r="H140" s="2">
        <v>206</v>
      </c>
    </row>
    <row r="141" spans="2:8" x14ac:dyDescent="0.2">
      <c r="B141" s="6">
        <f t="shared" si="16"/>
        <v>41412</v>
      </c>
      <c r="C141" s="7">
        <f t="shared" si="12"/>
        <v>18</v>
      </c>
      <c r="D141" s="7" t="str">
        <f t="shared" si="13"/>
        <v>May</v>
      </c>
      <c r="E141" s="7">
        <f t="shared" si="14"/>
        <v>7</v>
      </c>
      <c r="F141" s="7">
        <f t="shared" si="17"/>
        <v>3</v>
      </c>
      <c r="G141" s="7" t="str">
        <f t="shared" si="15"/>
        <v>Sat</v>
      </c>
      <c r="H141" s="2">
        <v>218</v>
      </c>
    </row>
    <row r="142" spans="2:8" x14ac:dyDescent="0.2">
      <c r="B142" s="6">
        <f t="shared" si="16"/>
        <v>41413</v>
      </c>
      <c r="C142" s="7">
        <f t="shared" si="12"/>
        <v>19</v>
      </c>
      <c r="D142" s="7" t="str">
        <f t="shared" si="13"/>
        <v>May</v>
      </c>
      <c r="E142" s="7">
        <f t="shared" si="14"/>
        <v>1</v>
      </c>
      <c r="F142" s="7">
        <f t="shared" si="17"/>
        <v>4</v>
      </c>
      <c r="G142" s="7" t="str">
        <f t="shared" si="15"/>
        <v>Sun</v>
      </c>
      <c r="H142" s="2">
        <v>187</v>
      </c>
    </row>
    <row r="143" spans="2:8" x14ac:dyDescent="0.2">
      <c r="B143" s="6">
        <f t="shared" si="16"/>
        <v>41414</v>
      </c>
      <c r="C143" s="7">
        <f t="shared" si="12"/>
        <v>20</v>
      </c>
      <c r="D143" s="7" t="str">
        <f t="shared" si="13"/>
        <v>May</v>
      </c>
      <c r="E143" s="7">
        <f t="shared" si="14"/>
        <v>2</v>
      </c>
      <c r="F143" s="7">
        <f t="shared" si="17"/>
        <v>4</v>
      </c>
      <c r="G143" s="7" t="str">
        <f t="shared" si="15"/>
        <v>Mon</v>
      </c>
      <c r="H143" s="2">
        <v>218</v>
      </c>
    </row>
    <row r="144" spans="2:8" x14ac:dyDescent="0.2">
      <c r="B144" s="6">
        <f t="shared" si="16"/>
        <v>41415</v>
      </c>
      <c r="C144" s="7">
        <f t="shared" si="12"/>
        <v>21</v>
      </c>
      <c r="D144" s="7" t="str">
        <f t="shared" si="13"/>
        <v>May</v>
      </c>
      <c r="E144" s="7">
        <f t="shared" si="14"/>
        <v>3</v>
      </c>
      <c r="F144" s="7">
        <f t="shared" si="17"/>
        <v>4</v>
      </c>
      <c r="G144" s="7" t="str">
        <f t="shared" si="15"/>
        <v>Tue</v>
      </c>
      <c r="H144" s="2">
        <v>200</v>
      </c>
    </row>
    <row r="145" spans="2:8" x14ac:dyDescent="0.2">
      <c r="B145" s="6">
        <f t="shared" si="16"/>
        <v>41416</v>
      </c>
      <c r="C145" s="7">
        <f t="shared" si="12"/>
        <v>22</v>
      </c>
      <c r="D145" s="7" t="str">
        <f t="shared" si="13"/>
        <v>May</v>
      </c>
      <c r="E145" s="7">
        <f t="shared" si="14"/>
        <v>4</v>
      </c>
      <c r="F145" s="7">
        <f t="shared" si="17"/>
        <v>4</v>
      </c>
      <c r="G145" s="7" t="str">
        <f t="shared" si="15"/>
        <v>Wed</v>
      </c>
      <c r="H145" s="2">
        <v>165</v>
      </c>
    </row>
    <row r="146" spans="2:8" x14ac:dyDescent="0.2">
      <c r="B146" s="6">
        <f t="shared" si="16"/>
        <v>41417</v>
      </c>
      <c r="C146" s="7">
        <f t="shared" si="12"/>
        <v>23</v>
      </c>
      <c r="D146" s="7" t="str">
        <f t="shared" si="13"/>
        <v>May</v>
      </c>
      <c r="E146" s="7">
        <f t="shared" si="14"/>
        <v>5</v>
      </c>
      <c r="F146" s="7">
        <f t="shared" si="17"/>
        <v>4</v>
      </c>
      <c r="G146" s="7" t="str">
        <f t="shared" si="15"/>
        <v>Thu</v>
      </c>
      <c r="H146" s="2">
        <v>199</v>
      </c>
    </row>
    <row r="147" spans="2:8" x14ac:dyDescent="0.2">
      <c r="B147" s="6">
        <f t="shared" si="16"/>
        <v>41418</v>
      </c>
      <c r="C147" s="7">
        <f t="shared" si="12"/>
        <v>24</v>
      </c>
      <c r="D147" s="7" t="str">
        <f t="shared" si="13"/>
        <v>May</v>
      </c>
      <c r="E147" s="7">
        <f t="shared" si="14"/>
        <v>6</v>
      </c>
      <c r="F147" s="7">
        <f t="shared" si="17"/>
        <v>4</v>
      </c>
      <c r="G147" s="7" t="str">
        <f t="shared" si="15"/>
        <v>Fri</v>
      </c>
      <c r="H147" s="2">
        <v>185</v>
      </c>
    </row>
    <row r="148" spans="2:8" x14ac:dyDescent="0.2">
      <c r="B148" s="6">
        <f t="shared" si="16"/>
        <v>41419</v>
      </c>
      <c r="C148" s="7">
        <f t="shared" si="12"/>
        <v>25</v>
      </c>
      <c r="D148" s="7" t="str">
        <f t="shared" si="13"/>
        <v>May</v>
      </c>
      <c r="E148" s="7">
        <f t="shared" si="14"/>
        <v>7</v>
      </c>
      <c r="F148" s="7">
        <f t="shared" si="17"/>
        <v>4</v>
      </c>
      <c r="G148" s="7" t="str">
        <f t="shared" si="15"/>
        <v>Sat</v>
      </c>
      <c r="H148" s="2">
        <v>188</v>
      </c>
    </row>
    <row r="149" spans="2:8" x14ac:dyDescent="0.2">
      <c r="B149" s="6">
        <f t="shared" si="16"/>
        <v>41420</v>
      </c>
      <c r="C149" s="7">
        <f t="shared" si="12"/>
        <v>26</v>
      </c>
      <c r="D149" s="7" t="str">
        <f t="shared" si="13"/>
        <v>May</v>
      </c>
      <c r="E149" s="7">
        <f t="shared" si="14"/>
        <v>1</v>
      </c>
      <c r="F149" s="7">
        <f t="shared" si="17"/>
        <v>5</v>
      </c>
      <c r="G149" s="7" t="str">
        <f t="shared" si="15"/>
        <v>Sun</v>
      </c>
      <c r="H149" s="2">
        <v>193</v>
      </c>
    </row>
    <row r="150" spans="2:8" x14ac:dyDescent="0.2">
      <c r="B150" s="6">
        <f t="shared" si="16"/>
        <v>41421</v>
      </c>
      <c r="C150" s="7">
        <f t="shared" si="12"/>
        <v>27</v>
      </c>
      <c r="D150" s="7" t="str">
        <f t="shared" si="13"/>
        <v>May</v>
      </c>
      <c r="E150" s="7">
        <f t="shared" si="14"/>
        <v>2</v>
      </c>
      <c r="F150" s="7">
        <f t="shared" si="17"/>
        <v>5</v>
      </c>
      <c r="G150" s="7" t="str">
        <f t="shared" si="15"/>
        <v>Mon</v>
      </c>
      <c r="H150" s="2">
        <v>207</v>
      </c>
    </row>
    <row r="151" spans="2:8" x14ac:dyDescent="0.2">
      <c r="B151" s="6">
        <f t="shared" si="16"/>
        <v>41422</v>
      </c>
      <c r="C151" s="7">
        <f t="shared" si="12"/>
        <v>28</v>
      </c>
      <c r="D151" s="7" t="str">
        <f t="shared" si="13"/>
        <v>May</v>
      </c>
      <c r="E151" s="7">
        <f t="shared" si="14"/>
        <v>3</v>
      </c>
      <c r="F151" s="7">
        <f t="shared" si="17"/>
        <v>5</v>
      </c>
      <c r="G151" s="7" t="str">
        <f t="shared" si="15"/>
        <v>Tue</v>
      </c>
      <c r="H151" s="2">
        <v>183</v>
      </c>
    </row>
    <row r="152" spans="2:8" x14ac:dyDescent="0.2">
      <c r="B152" s="6">
        <f t="shared" si="16"/>
        <v>41423</v>
      </c>
      <c r="C152" s="7">
        <f t="shared" si="12"/>
        <v>29</v>
      </c>
      <c r="D152" s="7" t="str">
        <f t="shared" si="13"/>
        <v>May</v>
      </c>
      <c r="E152" s="7">
        <f t="shared" si="14"/>
        <v>4</v>
      </c>
      <c r="F152" s="7">
        <f t="shared" si="17"/>
        <v>5</v>
      </c>
      <c r="G152" s="7" t="str">
        <f t="shared" si="15"/>
        <v>Wed</v>
      </c>
      <c r="H152" s="2">
        <v>216</v>
      </c>
    </row>
    <row r="153" spans="2:8" x14ac:dyDescent="0.2">
      <c r="B153" s="6">
        <f t="shared" si="16"/>
        <v>41424</v>
      </c>
      <c r="C153" s="7">
        <f t="shared" si="12"/>
        <v>30</v>
      </c>
      <c r="D153" s="7" t="str">
        <f t="shared" si="13"/>
        <v>May</v>
      </c>
      <c r="E153" s="7">
        <f t="shared" si="14"/>
        <v>5</v>
      </c>
      <c r="F153" s="7">
        <f t="shared" si="17"/>
        <v>5</v>
      </c>
      <c r="G153" s="7" t="str">
        <f t="shared" si="15"/>
        <v>Thu</v>
      </c>
      <c r="H153" s="2">
        <v>213</v>
      </c>
    </row>
    <row r="154" spans="2:8" x14ac:dyDescent="0.2">
      <c r="B154" s="6">
        <f t="shared" si="16"/>
        <v>41425</v>
      </c>
      <c r="C154" s="7">
        <f t="shared" si="12"/>
        <v>31</v>
      </c>
      <c r="D154" s="7" t="str">
        <f t="shared" si="13"/>
        <v>May</v>
      </c>
      <c r="E154" s="7">
        <f t="shared" si="14"/>
        <v>6</v>
      </c>
      <c r="F154" s="7">
        <f t="shared" si="17"/>
        <v>5</v>
      </c>
      <c r="G154" s="7" t="str">
        <f t="shared" si="15"/>
        <v>Fri</v>
      </c>
      <c r="H154" s="2">
        <v>232</v>
      </c>
    </row>
    <row r="155" spans="2:8" x14ac:dyDescent="0.2">
      <c r="B155" s="6">
        <f t="shared" si="16"/>
        <v>41426</v>
      </c>
      <c r="C155" s="7">
        <f t="shared" si="12"/>
        <v>1</v>
      </c>
      <c r="D155" s="7" t="str">
        <f t="shared" si="13"/>
        <v>Jun</v>
      </c>
      <c r="E155" s="7">
        <f t="shared" si="14"/>
        <v>7</v>
      </c>
      <c r="F155" s="7">
        <f t="shared" si="17"/>
        <v>1</v>
      </c>
      <c r="G155" s="7" t="str">
        <f t="shared" si="15"/>
        <v>Sat</v>
      </c>
      <c r="H155" s="2">
        <v>205</v>
      </c>
    </row>
    <row r="156" spans="2:8" x14ac:dyDescent="0.2">
      <c r="B156" s="6">
        <f t="shared" si="16"/>
        <v>41427</v>
      </c>
      <c r="C156" s="7">
        <f t="shared" si="12"/>
        <v>2</v>
      </c>
      <c r="D156" s="7" t="str">
        <f t="shared" si="13"/>
        <v>Jun</v>
      </c>
      <c r="E156" s="7">
        <f t="shared" si="14"/>
        <v>1</v>
      </c>
      <c r="F156" s="7">
        <f t="shared" si="17"/>
        <v>2</v>
      </c>
      <c r="G156" s="7" t="str">
        <f t="shared" si="15"/>
        <v>Sun</v>
      </c>
      <c r="H156" s="2">
        <v>209</v>
      </c>
    </row>
    <row r="157" spans="2:8" x14ac:dyDescent="0.2">
      <c r="B157" s="6">
        <f t="shared" si="16"/>
        <v>41428</v>
      </c>
      <c r="C157" s="7">
        <f t="shared" si="12"/>
        <v>3</v>
      </c>
      <c r="D157" s="7" t="str">
        <f t="shared" si="13"/>
        <v>Jun</v>
      </c>
      <c r="E157" s="7">
        <f t="shared" si="14"/>
        <v>2</v>
      </c>
      <c r="F157" s="7">
        <f t="shared" si="17"/>
        <v>2</v>
      </c>
      <c r="G157" s="7" t="str">
        <f t="shared" si="15"/>
        <v>Mon</v>
      </c>
      <c r="H157" s="2">
        <v>213</v>
      </c>
    </row>
    <row r="158" spans="2:8" x14ac:dyDescent="0.2">
      <c r="B158" s="6">
        <f t="shared" si="16"/>
        <v>41429</v>
      </c>
      <c r="C158" s="7">
        <f t="shared" si="12"/>
        <v>4</v>
      </c>
      <c r="D158" s="7" t="str">
        <f t="shared" si="13"/>
        <v>Jun</v>
      </c>
      <c r="E158" s="7">
        <f t="shared" si="14"/>
        <v>3</v>
      </c>
      <c r="F158" s="7">
        <f t="shared" si="17"/>
        <v>2</v>
      </c>
      <c r="G158" s="7" t="str">
        <f t="shared" si="15"/>
        <v>Tue</v>
      </c>
      <c r="H158" s="2">
        <v>219</v>
      </c>
    </row>
    <row r="159" spans="2:8" x14ac:dyDescent="0.2">
      <c r="B159" s="6">
        <f t="shared" si="16"/>
        <v>41430</v>
      </c>
      <c r="C159" s="7">
        <f t="shared" si="12"/>
        <v>5</v>
      </c>
      <c r="D159" s="7" t="str">
        <f t="shared" si="13"/>
        <v>Jun</v>
      </c>
      <c r="E159" s="7">
        <f t="shared" si="14"/>
        <v>4</v>
      </c>
      <c r="F159" s="7">
        <f t="shared" si="17"/>
        <v>2</v>
      </c>
      <c r="G159" s="7" t="str">
        <f t="shared" si="15"/>
        <v>Wed</v>
      </c>
      <c r="H159" s="2">
        <v>171</v>
      </c>
    </row>
    <row r="160" spans="2:8" x14ac:dyDescent="0.2">
      <c r="B160" s="6">
        <f t="shared" si="16"/>
        <v>41431</v>
      </c>
      <c r="C160" s="7">
        <f t="shared" si="12"/>
        <v>6</v>
      </c>
      <c r="D160" s="7" t="str">
        <f t="shared" si="13"/>
        <v>Jun</v>
      </c>
      <c r="E160" s="7">
        <f t="shared" si="14"/>
        <v>5</v>
      </c>
      <c r="F160" s="7">
        <f t="shared" si="17"/>
        <v>2</v>
      </c>
      <c r="G160" s="7" t="str">
        <f t="shared" si="15"/>
        <v>Thu</v>
      </c>
      <c r="H160" s="2">
        <v>174</v>
      </c>
    </row>
    <row r="161" spans="2:8" x14ac:dyDescent="0.2">
      <c r="B161" s="6">
        <f t="shared" si="16"/>
        <v>41432</v>
      </c>
      <c r="C161" s="7">
        <f t="shared" si="12"/>
        <v>7</v>
      </c>
      <c r="D161" s="7" t="str">
        <f t="shared" si="13"/>
        <v>Jun</v>
      </c>
      <c r="E161" s="7">
        <f t="shared" si="14"/>
        <v>6</v>
      </c>
      <c r="F161" s="7">
        <f t="shared" si="17"/>
        <v>2</v>
      </c>
      <c r="G161" s="7" t="str">
        <f t="shared" si="15"/>
        <v>Fri</v>
      </c>
      <c r="H161" s="2">
        <v>197</v>
      </c>
    </row>
    <row r="162" spans="2:8" x14ac:dyDescent="0.2">
      <c r="B162" s="6">
        <f t="shared" si="16"/>
        <v>41433</v>
      </c>
      <c r="C162" s="7">
        <f t="shared" si="12"/>
        <v>8</v>
      </c>
      <c r="D162" s="7" t="str">
        <f t="shared" si="13"/>
        <v>Jun</v>
      </c>
      <c r="E162" s="7">
        <f t="shared" si="14"/>
        <v>7</v>
      </c>
      <c r="F162" s="7">
        <f t="shared" si="17"/>
        <v>2</v>
      </c>
      <c r="G162" s="7" t="str">
        <f t="shared" si="15"/>
        <v>Sat</v>
      </c>
      <c r="H162" s="2">
        <v>186</v>
      </c>
    </row>
    <row r="163" spans="2:8" x14ac:dyDescent="0.2">
      <c r="B163" s="6">
        <f t="shared" si="16"/>
        <v>41434</v>
      </c>
      <c r="C163" s="7">
        <f t="shared" si="12"/>
        <v>9</v>
      </c>
      <c r="D163" s="7" t="str">
        <f t="shared" si="13"/>
        <v>Jun</v>
      </c>
      <c r="E163" s="7">
        <f t="shared" si="14"/>
        <v>1</v>
      </c>
      <c r="F163" s="7">
        <f t="shared" si="17"/>
        <v>3</v>
      </c>
      <c r="G163" s="7" t="str">
        <f t="shared" si="15"/>
        <v>Sun</v>
      </c>
      <c r="H163" s="2">
        <v>203</v>
      </c>
    </row>
    <row r="164" spans="2:8" x14ac:dyDescent="0.2">
      <c r="B164" s="6">
        <f t="shared" si="16"/>
        <v>41435</v>
      </c>
      <c r="C164" s="7">
        <f t="shared" si="12"/>
        <v>10</v>
      </c>
      <c r="D164" s="7" t="str">
        <f t="shared" si="13"/>
        <v>Jun</v>
      </c>
      <c r="E164" s="7">
        <f t="shared" si="14"/>
        <v>2</v>
      </c>
      <c r="F164" s="7">
        <f t="shared" si="17"/>
        <v>3</v>
      </c>
      <c r="G164" s="7" t="str">
        <f t="shared" si="15"/>
        <v>Mon</v>
      </c>
      <c r="H164" s="2">
        <v>179</v>
      </c>
    </row>
    <row r="165" spans="2:8" x14ac:dyDescent="0.2">
      <c r="B165" s="6">
        <f t="shared" si="16"/>
        <v>41436</v>
      </c>
      <c r="C165" s="7">
        <f t="shared" si="12"/>
        <v>11</v>
      </c>
      <c r="D165" s="7" t="str">
        <f t="shared" si="13"/>
        <v>Jun</v>
      </c>
      <c r="E165" s="7">
        <f t="shared" si="14"/>
        <v>3</v>
      </c>
      <c r="F165" s="7">
        <f t="shared" si="17"/>
        <v>3</v>
      </c>
      <c r="G165" s="7" t="str">
        <f t="shared" si="15"/>
        <v>Tue</v>
      </c>
      <c r="H165" s="2">
        <v>181</v>
      </c>
    </row>
    <row r="166" spans="2:8" x14ac:dyDescent="0.2">
      <c r="B166" s="6">
        <f t="shared" si="16"/>
        <v>41437</v>
      </c>
      <c r="C166" s="7">
        <f t="shared" si="12"/>
        <v>12</v>
      </c>
      <c r="D166" s="7" t="str">
        <f t="shared" si="13"/>
        <v>Jun</v>
      </c>
      <c r="E166" s="7">
        <f t="shared" si="14"/>
        <v>4</v>
      </c>
      <c r="F166" s="7">
        <f t="shared" si="17"/>
        <v>3</v>
      </c>
      <c r="G166" s="7" t="str">
        <f t="shared" si="15"/>
        <v>Wed</v>
      </c>
      <c r="H166" s="2">
        <v>170</v>
      </c>
    </row>
    <row r="167" spans="2:8" x14ac:dyDescent="0.2">
      <c r="B167" s="6">
        <f t="shared" si="16"/>
        <v>41438</v>
      </c>
      <c r="C167" s="7">
        <f t="shared" si="12"/>
        <v>13</v>
      </c>
      <c r="D167" s="7" t="str">
        <f t="shared" si="13"/>
        <v>Jun</v>
      </c>
      <c r="E167" s="7">
        <f t="shared" si="14"/>
        <v>5</v>
      </c>
      <c r="F167" s="7">
        <f t="shared" si="17"/>
        <v>3</v>
      </c>
      <c r="G167" s="7" t="str">
        <f t="shared" si="15"/>
        <v>Thu</v>
      </c>
      <c r="H167" s="2">
        <v>208</v>
      </c>
    </row>
    <row r="168" spans="2:8" x14ac:dyDescent="0.2">
      <c r="B168" s="6">
        <f t="shared" si="16"/>
        <v>41439</v>
      </c>
      <c r="C168" s="7">
        <f t="shared" si="12"/>
        <v>14</v>
      </c>
      <c r="D168" s="7" t="str">
        <f t="shared" si="13"/>
        <v>Jun</v>
      </c>
      <c r="E168" s="7">
        <f t="shared" si="14"/>
        <v>6</v>
      </c>
      <c r="F168" s="7">
        <f t="shared" si="17"/>
        <v>3</v>
      </c>
      <c r="G168" s="7" t="str">
        <f t="shared" si="15"/>
        <v>Fri</v>
      </c>
      <c r="H168" s="2">
        <v>179</v>
      </c>
    </row>
    <row r="169" spans="2:8" x14ac:dyDescent="0.2">
      <c r="B169" s="6">
        <f t="shared" si="16"/>
        <v>41440</v>
      </c>
      <c r="C169" s="7">
        <f t="shared" si="12"/>
        <v>15</v>
      </c>
      <c r="D169" s="7" t="str">
        <f t="shared" si="13"/>
        <v>Jun</v>
      </c>
      <c r="E169" s="7">
        <f t="shared" si="14"/>
        <v>7</v>
      </c>
      <c r="F169" s="7">
        <f t="shared" si="17"/>
        <v>3</v>
      </c>
      <c r="G169" s="7" t="str">
        <f t="shared" si="15"/>
        <v>Sat</v>
      </c>
      <c r="H169" s="2">
        <v>209</v>
      </c>
    </row>
    <row r="170" spans="2:8" x14ac:dyDescent="0.2">
      <c r="B170" s="6">
        <f t="shared" si="16"/>
        <v>41441</v>
      </c>
      <c r="C170" s="7">
        <f t="shared" si="12"/>
        <v>16</v>
      </c>
      <c r="D170" s="7" t="str">
        <f t="shared" si="13"/>
        <v>Jun</v>
      </c>
      <c r="E170" s="7">
        <f t="shared" si="14"/>
        <v>1</v>
      </c>
      <c r="F170" s="7">
        <f t="shared" si="17"/>
        <v>4</v>
      </c>
      <c r="G170" s="7" t="str">
        <f t="shared" si="15"/>
        <v>Sun</v>
      </c>
      <c r="H170" s="2">
        <v>182</v>
      </c>
    </row>
    <row r="171" spans="2:8" x14ac:dyDescent="0.2">
      <c r="B171" s="6">
        <f t="shared" si="16"/>
        <v>41442</v>
      </c>
      <c r="C171" s="7">
        <f t="shared" si="12"/>
        <v>17</v>
      </c>
      <c r="D171" s="7" t="str">
        <f t="shared" si="13"/>
        <v>Jun</v>
      </c>
      <c r="E171" s="7">
        <f t="shared" si="14"/>
        <v>2</v>
      </c>
      <c r="F171" s="7">
        <f t="shared" si="17"/>
        <v>4</v>
      </c>
      <c r="G171" s="7" t="str">
        <f t="shared" si="15"/>
        <v>Mon</v>
      </c>
      <c r="H171" s="2">
        <v>171</v>
      </c>
    </row>
    <row r="172" spans="2:8" x14ac:dyDescent="0.2">
      <c r="B172" s="6">
        <f t="shared" si="16"/>
        <v>41443</v>
      </c>
      <c r="C172" s="7">
        <f t="shared" si="12"/>
        <v>18</v>
      </c>
      <c r="D172" s="7" t="str">
        <f t="shared" si="13"/>
        <v>Jun</v>
      </c>
      <c r="E172" s="7">
        <f t="shared" si="14"/>
        <v>3</v>
      </c>
      <c r="F172" s="7">
        <f t="shared" si="17"/>
        <v>4</v>
      </c>
      <c r="G172" s="7" t="str">
        <f t="shared" si="15"/>
        <v>Tue</v>
      </c>
      <c r="H172" s="2">
        <v>211</v>
      </c>
    </row>
    <row r="173" spans="2:8" x14ac:dyDescent="0.2">
      <c r="B173" s="6">
        <f t="shared" si="16"/>
        <v>41444</v>
      </c>
      <c r="C173" s="7">
        <f t="shared" si="12"/>
        <v>19</v>
      </c>
      <c r="D173" s="7" t="str">
        <f t="shared" si="13"/>
        <v>Jun</v>
      </c>
      <c r="E173" s="7">
        <f t="shared" si="14"/>
        <v>4</v>
      </c>
      <c r="F173" s="7">
        <f t="shared" si="17"/>
        <v>4</v>
      </c>
      <c r="G173" s="7" t="str">
        <f t="shared" si="15"/>
        <v>Wed</v>
      </c>
      <c r="H173" s="2">
        <v>204</v>
      </c>
    </row>
    <row r="174" spans="2:8" x14ac:dyDescent="0.2">
      <c r="B174" s="6">
        <f t="shared" si="16"/>
        <v>41445</v>
      </c>
      <c r="C174" s="7">
        <f t="shared" si="12"/>
        <v>20</v>
      </c>
      <c r="D174" s="7" t="str">
        <f t="shared" si="13"/>
        <v>Jun</v>
      </c>
      <c r="E174" s="7">
        <f t="shared" si="14"/>
        <v>5</v>
      </c>
      <c r="F174" s="7">
        <f t="shared" si="17"/>
        <v>4</v>
      </c>
      <c r="G174" s="7" t="str">
        <f t="shared" si="15"/>
        <v>Thu</v>
      </c>
      <c r="H174" s="2">
        <v>231</v>
      </c>
    </row>
    <row r="175" spans="2:8" x14ac:dyDescent="0.2">
      <c r="B175" s="6">
        <f t="shared" si="16"/>
        <v>41446</v>
      </c>
      <c r="C175" s="7">
        <f t="shared" si="12"/>
        <v>21</v>
      </c>
      <c r="D175" s="7" t="str">
        <f t="shared" si="13"/>
        <v>Jun</v>
      </c>
      <c r="E175" s="7">
        <f t="shared" si="14"/>
        <v>6</v>
      </c>
      <c r="F175" s="7">
        <f t="shared" si="17"/>
        <v>4</v>
      </c>
      <c r="G175" s="7" t="str">
        <f t="shared" si="15"/>
        <v>Fri</v>
      </c>
      <c r="H175" s="2">
        <v>171</v>
      </c>
    </row>
    <row r="176" spans="2:8" x14ac:dyDescent="0.2">
      <c r="B176" s="6">
        <f t="shared" si="16"/>
        <v>41447</v>
      </c>
      <c r="C176" s="7">
        <f t="shared" si="12"/>
        <v>22</v>
      </c>
      <c r="D176" s="7" t="str">
        <f t="shared" si="13"/>
        <v>Jun</v>
      </c>
      <c r="E176" s="7">
        <f t="shared" si="14"/>
        <v>7</v>
      </c>
      <c r="F176" s="7">
        <f t="shared" si="17"/>
        <v>4</v>
      </c>
      <c r="G176" s="7" t="str">
        <f t="shared" si="15"/>
        <v>Sat</v>
      </c>
      <c r="H176" s="2">
        <v>199</v>
      </c>
    </row>
    <row r="177" spans="2:8" x14ac:dyDescent="0.2">
      <c r="B177" s="6">
        <f t="shared" si="16"/>
        <v>41448</v>
      </c>
      <c r="C177" s="7">
        <f t="shared" si="12"/>
        <v>23</v>
      </c>
      <c r="D177" s="7" t="str">
        <f t="shared" si="13"/>
        <v>Jun</v>
      </c>
      <c r="E177" s="7">
        <f t="shared" si="14"/>
        <v>1</v>
      </c>
      <c r="F177" s="7">
        <f t="shared" si="17"/>
        <v>5</v>
      </c>
      <c r="G177" s="7" t="str">
        <f t="shared" si="15"/>
        <v>Sun</v>
      </c>
      <c r="H177" s="2">
        <v>219</v>
      </c>
    </row>
    <row r="178" spans="2:8" x14ac:dyDescent="0.2">
      <c r="B178" s="6">
        <f t="shared" si="16"/>
        <v>41449</v>
      </c>
      <c r="C178" s="7">
        <f t="shared" si="12"/>
        <v>24</v>
      </c>
      <c r="D178" s="7" t="str">
        <f t="shared" si="13"/>
        <v>Jun</v>
      </c>
      <c r="E178" s="7">
        <f t="shared" si="14"/>
        <v>2</v>
      </c>
      <c r="F178" s="7">
        <f t="shared" si="17"/>
        <v>5</v>
      </c>
      <c r="G178" s="7" t="str">
        <f t="shared" si="15"/>
        <v>Mon</v>
      </c>
      <c r="H178" s="2">
        <v>205</v>
      </c>
    </row>
    <row r="179" spans="2:8" x14ac:dyDescent="0.2">
      <c r="B179" s="6">
        <f t="shared" si="16"/>
        <v>41450</v>
      </c>
      <c r="C179" s="7">
        <f t="shared" si="12"/>
        <v>25</v>
      </c>
      <c r="D179" s="7" t="str">
        <f t="shared" si="13"/>
        <v>Jun</v>
      </c>
      <c r="E179" s="7">
        <f t="shared" si="14"/>
        <v>3</v>
      </c>
      <c r="F179" s="7">
        <f t="shared" si="17"/>
        <v>5</v>
      </c>
      <c r="G179" s="7" t="str">
        <f t="shared" si="15"/>
        <v>Tue</v>
      </c>
      <c r="H179" s="2">
        <v>207</v>
      </c>
    </row>
    <row r="180" spans="2:8" x14ac:dyDescent="0.2">
      <c r="B180" s="6">
        <f t="shared" si="16"/>
        <v>41451</v>
      </c>
      <c r="C180" s="7">
        <f t="shared" si="12"/>
        <v>26</v>
      </c>
      <c r="D180" s="7" t="str">
        <f t="shared" si="13"/>
        <v>Jun</v>
      </c>
      <c r="E180" s="7">
        <f t="shared" si="14"/>
        <v>4</v>
      </c>
      <c r="F180" s="7">
        <f t="shared" si="17"/>
        <v>5</v>
      </c>
      <c r="G180" s="7" t="str">
        <f t="shared" si="15"/>
        <v>Wed</v>
      </c>
      <c r="H180" s="2">
        <v>199</v>
      </c>
    </row>
    <row r="181" spans="2:8" x14ac:dyDescent="0.2">
      <c r="B181" s="6">
        <f t="shared" si="16"/>
        <v>41452</v>
      </c>
      <c r="C181" s="7">
        <f t="shared" si="12"/>
        <v>27</v>
      </c>
      <c r="D181" s="7" t="str">
        <f t="shared" si="13"/>
        <v>Jun</v>
      </c>
      <c r="E181" s="7">
        <f t="shared" si="14"/>
        <v>5</v>
      </c>
      <c r="F181" s="7">
        <f t="shared" si="17"/>
        <v>5</v>
      </c>
      <c r="G181" s="7" t="str">
        <f t="shared" si="15"/>
        <v>Thu</v>
      </c>
      <c r="H181" s="2">
        <v>231</v>
      </c>
    </row>
    <row r="182" spans="2:8" x14ac:dyDescent="0.2">
      <c r="B182" s="6">
        <f t="shared" si="16"/>
        <v>41453</v>
      </c>
      <c r="C182" s="7">
        <f t="shared" si="12"/>
        <v>28</v>
      </c>
      <c r="D182" s="7" t="str">
        <f t="shared" si="13"/>
        <v>Jun</v>
      </c>
      <c r="E182" s="7">
        <f t="shared" si="14"/>
        <v>6</v>
      </c>
      <c r="F182" s="7">
        <f t="shared" si="17"/>
        <v>5</v>
      </c>
      <c r="G182" s="7" t="str">
        <f t="shared" si="15"/>
        <v>Fri</v>
      </c>
      <c r="H182" s="2">
        <v>182</v>
      </c>
    </row>
    <row r="183" spans="2:8" x14ac:dyDescent="0.2">
      <c r="B183" s="6">
        <f t="shared" si="16"/>
        <v>41454</v>
      </c>
      <c r="C183" s="7">
        <f t="shared" si="12"/>
        <v>29</v>
      </c>
      <c r="D183" s="7" t="str">
        <f t="shared" si="13"/>
        <v>Jun</v>
      </c>
      <c r="E183" s="7">
        <f t="shared" si="14"/>
        <v>7</v>
      </c>
      <c r="F183" s="7">
        <f t="shared" si="17"/>
        <v>5</v>
      </c>
      <c r="G183" s="7" t="str">
        <f t="shared" si="15"/>
        <v>Sat</v>
      </c>
      <c r="H183" s="2">
        <v>187</v>
      </c>
    </row>
    <row r="184" spans="2:8" x14ac:dyDescent="0.2">
      <c r="B184" s="6">
        <f t="shared" si="16"/>
        <v>41455</v>
      </c>
      <c r="C184" s="7">
        <f t="shared" si="12"/>
        <v>30</v>
      </c>
      <c r="D184" s="7" t="str">
        <f t="shared" si="13"/>
        <v>Jun</v>
      </c>
      <c r="E184" s="7">
        <f t="shared" si="14"/>
        <v>1</v>
      </c>
      <c r="F184" s="7">
        <f t="shared" si="17"/>
        <v>6</v>
      </c>
      <c r="G184" s="7" t="str">
        <f t="shared" si="15"/>
        <v>Sun</v>
      </c>
      <c r="H184" s="2">
        <v>185</v>
      </c>
    </row>
    <row r="185" spans="2:8" x14ac:dyDescent="0.2">
      <c r="B185" s="6">
        <f t="shared" si="16"/>
        <v>41456</v>
      </c>
      <c r="C185" s="7">
        <f t="shared" si="12"/>
        <v>1</v>
      </c>
      <c r="D185" s="7" t="str">
        <f t="shared" si="13"/>
        <v>Jul</v>
      </c>
      <c r="E185" s="7">
        <f t="shared" si="14"/>
        <v>2</v>
      </c>
      <c r="F185" s="7">
        <f t="shared" si="17"/>
        <v>1</v>
      </c>
      <c r="G185" s="7" t="str">
        <f t="shared" si="15"/>
        <v>Mon</v>
      </c>
      <c r="H185" s="2">
        <v>213</v>
      </c>
    </row>
    <row r="186" spans="2:8" x14ac:dyDescent="0.2">
      <c r="B186" s="6">
        <f t="shared" si="16"/>
        <v>41457</v>
      </c>
      <c r="C186" s="7">
        <f t="shared" si="12"/>
        <v>2</v>
      </c>
      <c r="D186" s="7" t="str">
        <f t="shared" si="13"/>
        <v>Jul</v>
      </c>
      <c r="E186" s="7">
        <f t="shared" si="14"/>
        <v>3</v>
      </c>
      <c r="F186" s="7">
        <f t="shared" si="17"/>
        <v>1</v>
      </c>
      <c r="G186" s="7" t="str">
        <f t="shared" si="15"/>
        <v>Tue</v>
      </c>
      <c r="H186" s="2">
        <v>232</v>
      </c>
    </row>
    <row r="187" spans="2:8" x14ac:dyDescent="0.2">
      <c r="B187" s="6">
        <f t="shared" si="16"/>
        <v>41458</v>
      </c>
      <c r="C187" s="7">
        <f t="shared" si="12"/>
        <v>3</v>
      </c>
      <c r="D187" s="7" t="str">
        <f t="shared" si="13"/>
        <v>Jul</v>
      </c>
      <c r="E187" s="7">
        <f t="shared" si="14"/>
        <v>4</v>
      </c>
      <c r="F187" s="7">
        <f t="shared" si="17"/>
        <v>1</v>
      </c>
      <c r="G187" s="7" t="str">
        <f t="shared" si="15"/>
        <v>Wed</v>
      </c>
      <c r="H187" s="2">
        <v>171</v>
      </c>
    </row>
    <row r="188" spans="2:8" x14ac:dyDescent="0.2">
      <c r="B188" s="6">
        <f t="shared" si="16"/>
        <v>41459</v>
      </c>
      <c r="C188" s="7">
        <f t="shared" si="12"/>
        <v>4</v>
      </c>
      <c r="D188" s="7" t="str">
        <f t="shared" si="13"/>
        <v>Jul</v>
      </c>
      <c r="E188" s="7">
        <f t="shared" si="14"/>
        <v>5</v>
      </c>
      <c r="F188" s="7">
        <f t="shared" si="17"/>
        <v>1</v>
      </c>
      <c r="G188" s="7" t="str">
        <f t="shared" si="15"/>
        <v>Thu</v>
      </c>
      <c r="H188" s="2">
        <v>222</v>
      </c>
    </row>
    <row r="189" spans="2:8" x14ac:dyDescent="0.2">
      <c r="B189" s="6">
        <f t="shared" si="16"/>
        <v>41460</v>
      </c>
      <c r="C189" s="7">
        <f t="shared" si="12"/>
        <v>5</v>
      </c>
      <c r="D189" s="7" t="str">
        <f t="shared" si="13"/>
        <v>Jul</v>
      </c>
      <c r="E189" s="7">
        <f t="shared" si="14"/>
        <v>6</v>
      </c>
      <c r="F189" s="7">
        <f t="shared" si="17"/>
        <v>1</v>
      </c>
      <c r="G189" s="7" t="str">
        <f t="shared" si="15"/>
        <v>Fri</v>
      </c>
      <c r="H189" s="2">
        <v>200</v>
      </c>
    </row>
    <row r="190" spans="2:8" x14ac:dyDescent="0.2">
      <c r="B190" s="6">
        <f t="shared" si="16"/>
        <v>41461</v>
      </c>
      <c r="C190" s="7">
        <f t="shared" si="12"/>
        <v>6</v>
      </c>
      <c r="D190" s="7" t="str">
        <f t="shared" si="13"/>
        <v>Jul</v>
      </c>
      <c r="E190" s="7">
        <f t="shared" si="14"/>
        <v>7</v>
      </c>
      <c r="F190" s="7">
        <f t="shared" si="17"/>
        <v>1</v>
      </c>
      <c r="G190" s="7" t="str">
        <f t="shared" si="15"/>
        <v>Sat</v>
      </c>
      <c r="H190" s="2">
        <v>178</v>
      </c>
    </row>
    <row r="191" spans="2:8" x14ac:dyDescent="0.2">
      <c r="B191" s="6">
        <f t="shared" si="16"/>
        <v>41462</v>
      </c>
      <c r="C191" s="7">
        <f t="shared" si="12"/>
        <v>7</v>
      </c>
      <c r="D191" s="7" t="str">
        <f t="shared" si="13"/>
        <v>Jul</v>
      </c>
      <c r="E191" s="7">
        <f t="shared" si="14"/>
        <v>1</v>
      </c>
      <c r="F191" s="7">
        <f t="shared" si="17"/>
        <v>2</v>
      </c>
      <c r="G191" s="7" t="str">
        <f t="shared" si="15"/>
        <v>Sun</v>
      </c>
      <c r="H191" s="2">
        <v>185</v>
      </c>
    </row>
    <row r="192" spans="2:8" x14ac:dyDescent="0.2">
      <c r="B192" s="6">
        <f t="shared" si="16"/>
        <v>41463</v>
      </c>
      <c r="C192" s="7">
        <f t="shared" si="12"/>
        <v>8</v>
      </c>
      <c r="D192" s="7" t="str">
        <f t="shared" si="13"/>
        <v>Jul</v>
      </c>
      <c r="E192" s="7">
        <f t="shared" si="14"/>
        <v>2</v>
      </c>
      <c r="F192" s="7">
        <f t="shared" si="17"/>
        <v>2</v>
      </c>
      <c r="G192" s="7" t="str">
        <f t="shared" si="15"/>
        <v>Mon</v>
      </c>
      <c r="H192" s="2">
        <v>197</v>
      </c>
    </row>
    <row r="193" spans="2:8" x14ac:dyDescent="0.2">
      <c r="B193" s="6">
        <f t="shared" si="16"/>
        <v>41464</v>
      </c>
      <c r="C193" s="7">
        <f t="shared" si="12"/>
        <v>9</v>
      </c>
      <c r="D193" s="7" t="str">
        <f t="shared" si="13"/>
        <v>Jul</v>
      </c>
      <c r="E193" s="7">
        <f t="shared" si="14"/>
        <v>3</v>
      </c>
      <c r="F193" s="7">
        <f t="shared" si="17"/>
        <v>2</v>
      </c>
      <c r="G193" s="7" t="str">
        <f t="shared" si="15"/>
        <v>Tue</v>
      </c>
      <c r="H193" s="2">
        <v>171</v>
      </c>
    </row>
    <row r="194" spans="2:8" x14ac:dyDescent="0.2">
      <c r="B194" s="6">
        <f t="shared" si="16"/>
        <v>41465</v>
      </c>
      <c r="C194" s="7">
        <f t="shared" si="12"/>
        <v>10</v>
      </c>
      <c r="D194" s="7" t="str">
        <f t="shared" si="13"/>
        <v>Jul</v>
      </c>
      <c r="E194" s="7">
        <f t="shared" si="14"/>
        <v>4</v>
      </c>
      <c r="F194" s="7">
        <f t="shared" si="17"/>
        <v>2</v>
      </c>
      <c r="G194" s="7" t="str">
        <f t="shared" si="15"/>
        <v>Wed</v>
      </c>
      <c r="H194" s="2">
        <v>191</v>
      </c>
    </row>
    <row r="195" spans="2:8" x14ac:dyDescent="0.2">
      <c r="B195" s="6">
        <f t="shared" si="16"/>
        <v>41466</v>
      </c>
      <c r="C195" s="7">
        <f t="shared" si="12"/>
        <v>11</v>
      </c>
      <c r="D195" s="7" t="str">
        <f t="shared" si="13"/>
        <v>Jul</v>
      </c>
      <c r="E195" s="7">
        <f t="shared" si="14"/>
        <v>5</v>
      </c>
      <c r="F195" s="7">
        <f t="shared" si="17"/>
        <v>2</v>
      </c>
      <c r="G195" s="7" t="str">
        <f t="shared" si="15"/>
        <v>Thu</v>
      </c>
      <c r="H195" s="2">
        <v>207</v>
      </c>
    </row>
    <row r="196" spans="2:8" x14ac:dyDescent="0.2">
      <c r="B196" s="6">
        <f t="shared" si="16"/>
        <v>41467</v>
      </c>
      <c r="C196" s="7">
        <f t="shared" si="12"/>
        <v>12</v>
      </c>
      <c r="D196" s="7" t="str">
        <f t="shared" si="13"/>
        <v>Jul</v>
      </c>
      <c r="E196" s="7">
        <f t="shared" si="14"/>
        <v>6</v>
      </c>
      <c r="F196" s="7">
        <f t="shared" si="17"/>
        <v>2</v>
      </c>
      <c r="G196" s="7" t="str">
        <f t="shared" si="15"/>
        <v>Fri</v>
      </c>
      <c r="H196" s="2">
        <v>228</v>
      </c>
    </row>
    <row r="197" spans="2:8" x14ac:dyDescent="0.2">
      <c r="B197" s="6">
        <f t="shared" si="16"/>
        <v>41468</v>
      </c>
      <c r="C197" s="7">
        <f t="shared" ref="C197:C260" si="18">DAY(B197)</f>
        <v>13</v>
      </c>
      <c r="D197" s="7" t="str">
        <f t="shared" ref="D197:D260" si="19">TEXT(B197,"mmm")</f>
        <v>Jul</v>
      </c>
      <c r="E197" s="7">
        <f t="shared" ref="E197:E260" si="20">WEEKDAY(B197)</f>
        <v>7</v>
      </c>
      <c r="F197" s="7">
        <f t="shared" si="17"/>
        <v>2</v>
      </c>
      <c r="G197" s="7" t="str">
        <f t="shared" ref="G197:G260" si="21">TEXT(B197,"ddd")</f>
        <v>Sat</v>
      </c>
      <c r="H197" s="2">
        <v>197</v>
      </c>
    </row>
    <row r="198" spans="2:8" x14ac:dyDescent="0.2">
      <c r="B198" s="6">
        <f t="shared" ref="B198:B261" si="22">B197+1</f>
        <v>41469</v>
      </c>
      <c r="C198" s="7">
        <f t="shared" si="18"/>
        <v>14</v>
      </c>
      <c r="D198" s="7" t="str">
        <f t="shared" si="19"/>
        <v>Jul</v>
      </c>
      <c r="E198" s="7">
        <f t="shared" si="20"/>
        <v>1</v>
      </c>
      <c r="F198" s="7">
        <f t="shared" ref="F198:F261" si="23">IF(D198=D197,IF(E198=1,F197+1,F197),1)</f>
        <v>3</v>
      </c>
      <c r="G198" s="7" t="str">
        <f t="shared" si="21"/>
        <v>Sun</v>
      </c>
      <c r="H198" s="2">
        <v>190</v>
      </c>
    </row>
    <row r="199" spans="2:8" x14ac:dyDescent="0.2">
      <c r="B199" s="6">
        <f t="shared" si="22"/>
        <v>41470</v>
      </c>
      <c r="C199" s="7">
        <f t="shared" si="18"/>
        <v>15</v>
      </c>
      <c r="D199" s="7" t="str">
        <f t="shared" si="19"/>
        <v>Jul</v>
      </c>
      <c r="E199" s="7">
        <f t="shared" si="20"/>
        <v>2</v>
      </c>
      <c r="F199" s="7">
        <f t="shared" si="23"/>
        <v>3</v>
      </c>
      <c r="G199" s="7" t="str">
        <f t="shared" si="21"/>
        <v>Mon</v>
      </c>
      <c r="H199" s="2">
        <v>183</v>
      </c>
    </row>
    <row r="200" spans="2:8" x14ac:dyDescent="0.2">
      <c r="B200" s="6">
        <f t="shared" si="22"/>
        <v>41471</v>
      </c>
      <c r="C200" s="7">
        <f t="shared" si="18"/>
        <v>16</v>
      </c>
      <c r="D200" s="7" t="str">
        <f t="shared" si="19"/>
        <v>Jul</v>
      </c>
      <c r="E200" s="7">
        <f t="shared" si="20"/>
        <v>3</v>
      </c>
      <c r="F200" s="7">
        <f t="shared" si="23"/>
        <v>3</v>
      </c>
      <c r="G200" s="7" t="str">
        <f t="shared" si="21"/>
        <v>Tue</v>
      </c>
      <c r="H200" s="2">
        <v>204</v>
      </c>
    </row>
    <row r="201" spans="2:8" x14ac:dyDescent="0.2">
      <c r="B201" s="6">
        <f t="shared" si="22"/>
        <v>41472</v>
      </c>
      <c r="C201" s="7">
        <f t="shared" si="18"/>
        <v>17</v>
      </c>
      <c r="D201" s="7" t="str">
        <f t="shared" si="19"/>
        <v>Jul</v>
      </c>
      <c r="E201" s="7">
        <f t="shared" si="20"/>
        <v>4</v>
      </c>
      <c r="F201" s="7">
        <f t="shared" si="23"/>
        <v>3</v>
      </c>
      <c r="G201" s="7" t="str">
        <f t="shared" si="21"/>
        <v>Wed</v>
      </c>
      <c r="H201" s="2">
        <v>181</v>
      </c>
    </row>
    <row r="202" spans="2:8" x14ac:dyDescent="0.2">
      <c r="B202" s="6">
        <f t="shared" si="22"/>
        <v>41473</v>
      </c>
      <c r="C202" s="7">
        <f t="shared" si="18"/>
        <v>18</v>
      </c>
      <c r="D202" s="7" t="str">
        <f t="shared" si="19"/>
        <v>Jul</v>
      </c>
      <c r="E202" s="7">
        <f t="shared" si="20"/>
        <v>5</v>
      </c>
      <c r="F202" s="7">
        <f t="shared" si="23"/>
        <v>3</v>
      </c>
      <c r="G202" s="7" t="str">
        <f t="shared" si="21"/>
        <v>Thu</v>
      </c>
      <c r="H202" s="2">
        <v>173</v>
      </c>
    </row>
    <row r="203" spans="2:8" x14ac:dyDescent="0.2">
      <c r="B203" s="6">
        <f t="shared" si="22"/>
        <v>41474</v>
      </c>
      <c r="C203" s="7">
        <f t="shared" si="18"/>
        <v>19</v>
      </c>
      <c r="D203" s="7" t="str">
        <f t="shared" si="19"/>
        <v>Jul</v>
      </c>
      <c r="E203" s="7">
        <f t="shared" si="20"/>
        <v>6</v>
      </c>
      <c r="F203" s="7">
        <f t="shared" si="23"/>
        <v>3</v>
      </c>
      <c r="G203" s="7" t="str">
        <f t="shared" si="21"/>
        <v>Fri</v>
      </c>
      <c r="H203" s="2">
        <v>219</v>
      </c>
    </row>
    <row r="204" spans="2:8" x14ac:dyDescent="0.2">
      <c r="B204" s="6">
        <f t="shared" si="22"/>
        <v>41475</v>
      </c>
      <c r="C204" s="7">
        <f t="shared" si="18"/>
        <v>20</v>
      </c>
      <c r="D204" s="7" t="str">
        <f t="shared" si="19"/>
        <v>Jul</v>
      </c>
      <c r="E204" s="7">
        <f t="shared" si="20"/>
        <v>7</v>
      </c>
      <c r="F204" s="7">
        <f t="shared" si="23"/>
        <v>3</v>
      </c>
      <c r="G204" s="7" t="str">
        <f t="shared" si="21"/>
        <v>Sat</v>
      </c>
      <c r="H204" s="2">
        <v>192</v>
      </c>
    </row>
    <row r="205" spans="2:8" x14ac:dyDescent="0.2">
      <c r="B205" s="6">
        <f t="shared" si="22"/>
        <v>41476</v>
      </c>
      <c r="C205" s="7">
        <f t="shared" si="18"/>
        <v>21</v>
      </c>
      <c r="D205" s="7" t="str">
        <f t="shared" si="19"/>
        <v>Jul</v>
      </c>
      <c r="E205" s="7">
        <f t="shared" si="20"/>
        <v>1</v>
      </c>
      <c r="F205" s="7">
        <f t="shared" si="23"/>
        <v>4</v>
      </c>
      <c r="G205" s="7" t="str">
        <f t="shared" si="21"/>
        <v>Sun</v>
      </c>
      <c r="H205" s="2">
        <v>189</v>
      </c>
    </row>
    <row r="206" spans="2:8" x14ac:dyDescent="0.2">
      <c r="B206" s="6">
        <f t="shared" si="22"/>
        <v>41477</v>
      </c>
      <c r="C206" s="7">
        <f t="shared" si="18"/>
        <v>22</v>
      </c>
      <c r="D206" s="7" t="str">
        <f t="shared" si="19"/>
        <v>Jul</v>
      </c>
      <c r="E206" s="7">
        <f t="shared" si="20"/>
        <v>2</v>
      </c>
      <c r="F206" s="7">
        <f t="shared" si="23"/>
        <v>4</v>
      </c>
      <c r="G206" s="7" t="str">
        <f t="shared" si="21"/>
        <v>Mon</v>
      </c>
      <c r="H206" s="2">
        <v>209</v>
      </c>
    </row>
    <row r="207" spans="2:8" x14ac:dyDescent="0.2">
      <c r="B207" s="6">
        <f t="shared" si="22"/>
        <v>41478</v>
      </c>
      <c r="C207" s="7">
        <f t="shared" si="18"/>
        <v>23</v>
      </c>
      <c r="D207" s="7" t="str">
        <f t="shared" si="19"/>
        <v>Jul</v>
      </c>
      <c r="E207" s="7">
        <f t="shared" si="20"/>
        <v>3</v>
      </c>
      <c r="F207" s="7">
        <f t="shared" si="23"/>
        <v>4</v>
      </c>
      <c r="G207" s="7" t="str">
        <f t="shared" si="21"/>
        <v>Tue</v>
      </c>
      <c r="H207" s="2">
        <v>188</v>
      </c>
    </row>
    <row r="208" spans="2:8" x14ac:dyDescent="0.2">
      <c r="B208" s="6">
        <f t="shared" si="22"/>
        <v>41479</v>
      </c>
      <c r="C208" s="7">
        <f t="shared" si="18"/>
        <v>24</v>
      </c>
      <c r="D208" s="7" t="str">
        <f t="shared" si="19"/>
        <v>Jul</v>
      </c>
      <c r="E208" s="7">
        <f t="shared" si="20"/>
        <v>4</v>
      </c>
      <c r="F208" s="7">
        <f t="shared" si="23"/>
        <v>4</v>
      </c>
      <c r="G208" s="7" t="str">
        <f t="shared" si="21"/>
        <v>Wed</v>
      </c>
      <c r="H208" s="2">
        <v>199</v>
      </c>
    </row>
    <row r="209" spans="2:8" x14ac:dyDescent="0.2">
      <c r="B209" s="6">
        <f t="shared" si="22"/>
        <v>41480</v>
      </c>
      <c r="C209" s="7">
        <f t="shared" si="18"/>
        <v>25</v>
      </c>
      <c r="D209" s="7" t="str">
        <f t="shared" si="19"/>
        <v>Jul</v>
      </c>
      <c r="E209" s="7">
        <f t="shared" si="20"/>
        <v>5</v>
      </c>
      <c r="F209" s="7">
        <f t="shared" si="23"/>
        <v>4</v>
      </c>
      <c r="G209" s="7" t="str">
        <f t="shared" si="21"/>
        <v>Thu</v>
      </c>
      <c r="H209" s="2">
        <v>214</v>
      </c>
    </row>
    <row r="210" spans="2:8" x14ac:dyDescent="0.2">
      <c r="B210" s="6">
        <f t="shared" si="22"/>
        <v>41481</v>
      </c>
      <c r="C210" s="7">
        <f t="shared" si="18"/>
        <v>26</v>
      </c>
      <c r="D210" s="7" t="str">
        <f t="shared" si="19"/>
        <v>Jul</v>
      </c>
      <c r="E210" s="7">
        <f t="shared" si="20"/>
        <v>6</v>
      </c>
      <c r="F210" s="7">
        <f t="shared" si="23"/>
        <v>4</v>
      </c>
      <c r="G210" s="7" t="str">
        <f t="shared" si="21"/>
        <v>Fri</v>
      </c>
      <c r="H210" s="2">
        <v>230</v>
      </c>
    </row>
    <row r="211" spans="2:8" x14ac:dyDescent="0.2">
      <c r="B211" s="6">
        <f t="shared" si="22"/>
        <v>41482</v>
      </c>
      <c r="C211" s="7">
        <f t="shared" si="18"/>
        <v>27</v>
      </c>
      <c r="D211" s="7" t="str">
        <f t="shared" si="19"/>
        <v>Jul</v>
      </c>
      <c r="E211" s="7">
        <f t="shared" si="20"/>
        <v>7</v>
      </c>
      <c r="F211" s="7">
        <f t="shared" si="23"/>
        <v>4</v>
      </c>
      <c r="G211" s="7" t="str">
        <f t="shared" si="21"/>
        <v>Sat</v>
      </c>
      <c r="H211" s="2">
        <v>220</v>
      </c>
    </row>
    <row r="212" spans="2:8" x14ac:dyDescent="0.2">
      <c r="B212" s="6">
        <f t="shared" si="22"/>
        <v>41483</v>
      </c>
      <c r="C212" s="7">
        <f t="shared" si="18"/>
        <v>28</v>
      </c>
      <c r="D212" s="7" t="str">
        <f t="shared" si="19"/>
        <v>Jul</v>
      </c>
      <c r="E212" s="7">
        <f t="shared" si="20"/>
        <v>1</v>
      </c>
      <c r="F212" s="7">
        <f t="shared" si="23"/>
        <v>5</v>
      </c>
      <c r="G212" s="7" t="str">
        <f t="shared" si="21"/>
        <v>Sun</v>
      </c>
      <c r="H212" s="2">
        <v>188</v>
      </c>
    </row>
    <row r="213" spans="2:8" x14ac:dyDescent="0.2">
      <c r="B213" s="6">
        <f t="shared" si="22"/>
        <v>41484</v>
      </c>
      <c r="C213" s="7">
        <f t="shared" si="18"/>
        <v>29</v>
      </c>
      <c r="D213" s="7" t="str">
        <f t="shared" si="19"/>
        <v>Jul</v>
      </c>
      <c r="E213" s="7">
        <f t="shared" si="20"/>
        <v>2</v>
      </c>
      <c r="F213" s="7">
        <f t="shared" si="23"/>
        <v>5</v>
      </c>
      <c r="G213" s="7" t="str">
        <f t="shared" si="21"/>
        <v>Mon</v>
      </c>
      <c r="H213" s="2">
        <v>169</v>
      </c>
    </row>
    <row r="214" spans="2:8" x14ac:dyDescent="0.2">
      <c r="B214" s="6">
        <f t="shared" si="22"/>
        <v>41485</v>
      </c>
      <c r="C214" s="7">
        <f t="shared" si="18"/>
        <v>30</v>
      </c>
      <c r="D214" s="7" t="str">
        <f t="shared" si="19"/>
        <v>Jul</v>
      </c>
      <c r="E214" s="7">
        <f t="shared" si="20"/>
        <v>3</v>
      </c>
      <c r="F214" s="7">
        <f t="shared" si="23"/>
        <v>5</v>
      </c>
      <c r="G214" s="7" t="str">
        <f t="shared" si="21"/>
        <v>Tue</v>
      </c>
      <c r="H214" s="2">
        <v>210</v>
      </c>
    </row>
    <row r="215" spans="2:8" x14ac:dyDescent="0.2">
      <c r="B215" s="6">
        <f t="shared" si="22"/>
        <v>41486</v>
      </c>
      <c r="C215" s="7">
        <f t="shared" si="18"/>
        <v>31</v>
      </c>
      <c r="D215" s="7" t="str">
        <f t="shared" si="19"/>
        <v>Jul</v>
      </c>
      <c r="E215" s="7">
        <f t="shared" si="20"/>
        <v>4</v>
      </c>
      <c r="F215" s="7">
        <f t="shared" si="23"/>
        <v>5</v>
      </c>
      <c r="G215" s="7" t="str">
        <f t="shared" si="21"/>
        <v>Wed</v>
      </c>
      <c r="H215" s="2">
        <v>192</v>
      </c>
    </row>
    <row r="216" spans="2:8" x14ac:dyDescent="0.2">
      <c r="B216" s="6">
        <f t="shared" si="22"/>
        <v>41487</v>
      </c>
      <c r="C216" s="7">
        <f t="shared" si="18"/>
        <v>1</v>
      </c>
      <c r="D216" s="7" t="str">
        <f t="shared" si="19"/>
        <v>Aug</v>
      </c>
      <c r="E216" s="7">
        <f t="shared" si="20"/>
        <v>5</v>
      </c>
      <c r="F216" s="7">
        <f t="shared" si="23"/>
        <v>1</v>
      </c>
      <c r="G216" s="7" t="str">
        <f t="shared" si="21"/>
        <v>Thu</v>
      </c>
      <c r="H216" s="2">
        <v>196</v>
      </c>
    </row>
    <row r="217" spans="2:8" x14ac:dyDescent="0.2">
      <c r="B217" s="6">
        <f t="shared" si="22"/>
        <v>41488</v>
      </c>
      <c r="C217" s="7">
        <f t="shared" si="18"/>
        <v>2</v>
      </c>
      <c r="D217" s="7" t="str">
        <f t="shared" si="19"/>
        <v>Aug</v>
      </c>
      <c r="E217" s="7">
        <f t="shared" si="20"/>
        <v>6</v>
      </c>
      <c r="F217" s="7">
        <f t="shared" si="23"/>
        <v>1</v>
      </c>
      <c r="G217" s="7" t="str">
        <f t="shared" si="21"/>
        <v>Fri</v>
      </c>
      <c r="H217" s="2">
        <v>220</v>
      </c>
    </row>
    <row r="218" spans="2:8" x14ac:dyDescent="0.2">
      <c r="B218" s="6">
        <f t="shared" si="22"/>
        <v>41489</v>
      </c>
      <c r="C218" s="7">
        <f t="shared" si="18"/>
        <v>3</v>
      </c>
      <c r="D218" s="7" t="str">
        <f t="shared" si="19"/>
        <v>Aug</v>
      </c>
      <c r="E218" s="7">
        <f t="shared" si="20"/>
        <v>7</v>
      </c>
      <c r="F218" s="7">
        <f t="shared" si="23"/>
        <v>1</v>
      </c>
      <c r="G218" s="7" t="str">
        <f t="shared" si="21"/>
        <v>Sat</v>
      </c>
      <c r="H218" s="2">
        <v>225</v>
      </c>
    </row>
    <row r="219" spans="2:8" x14ac:dyDescent="0.2">
      <c r="B219" s="6">
        <f t="shared" si="22"/>
        <v>41490</v>
      </c>
      <c r="C219" s="7">
        <f t="shared" si="18"/>
        <v>4</v>
      </c>
      <c r="D219" s="7" t="str">
        <f t="shared" si="19"/>
        <v>Aug</v>
      </c>
      <c r="E219" s="7">
        <f t="shared" si="20"/>
        <v>1</v>
      </c>
      <c r="F219" s="7">
        <f t="shared" si="23"/>
        <v>2</v>
      </c>
      <c r="G219" s="7" t="str">
        <f t="shared" si="21"/>
        <v>Sun</v>
      </c>
      <c r="H219" s="2">
        <v>226</v>
      </c>
    </row>
    <row r="220" spans="2:8" x14ac:dyDescent="0.2">
      <c r="B220" s="6">
        <f t="shared" si="22"/>
        <v>41491</v>
      </c>
      <c r="C220" s="7">
        <f t="shared" si="18"/>
        <v>5</v>
      </c>
      <c r="D220" s="7" t="str">
        <f t="shared" si="19"/>
        <v>Aug</v>
      </c>
      <c r="E220" s="7">
        <f t="shared" si="20"/>
        <v>2</v>
      </c>
      <c r="F220" s="7">
        <f t="shared" si="23"/>
        <v>2</v>
      </c>
      <c r="G220" s="7" t="str">
        <f t="shared" si="21"/>
        <v>Mon</v>
      </c>
      <c r="H220" s="2">
        <v>178</v>
      </c>
    </row>
    <row r="221" spans="2:8" x14ac:dyDescent="0.2">
      <c r="B221" s="6">
        <f t="shared" si="22"/>
        <v>41492</v>
      </c>
      <c r="C221" s="7">
        <f t="shared" si="18"/>
        <v>6</v>
      </c>
      <c r="D221" s="7" t="str">
        <f t="shared" si="19"/>
        <v>Aug</v>
      </c>
      <c r="E221" s="7">
        <f t="shared" si="20"/>
        <v>3</v>
      </c>
      <c r="F221" s="7">
        <f t="shared" si="23"/>
        <v>2</v>
      </c>
      <c r="G221" s="7" t="str">
        <f t="shared" si="21"/>
        <v>Tue</v>
      </c>
      <c r="H221" s="2">
        <v>179</v>
      </c>
    </row>
    <row r="222" spans="2:8" x14ac:dyDescent="0.2">
      <c r="B222" s="6">
        <f t="shared" si="22"/>
        <v>41493</v>
      </c>
      <c r="C222" s="7">
        <f t="shared" si="18"/>
        <v>7</v>
      </c>
      <c r="D222" s="7" t="str">
        <f t="shared" si="19"/>
        <v>Aug</v>
      </c>
      <c r="E222" s="7">
        <f t="shared" si="20"/>
        <v>4</v>
      </c>
      <c r="F222" s="7">
        <f t="shared" si="23"/>
        <v>2</v>
      </c>
      <c r="G222" s="7" t="str">
        <f t="shared" si="21"/>
        <v>Wed</v>
      </c>
      <c r="H222" s="2">
        <v>204</v>
      </c>
    </row>
    <row r="223" spans="2:8" x14ac:dyDescent="0.2">
      <c r="B223" s="6">
        <f t="shared" si="22"/>
        <v>41494</v>
      </c>
      <c r="C223" s="7">
        <f t="shared" si="18"/>
        <v>8</v>
      </c>
      <c r="D223" s="7" t="str">
        <f t="shared" si="19"/>
        <v>Aug</v>
      </c>
      <c r="E223" s="7">
        <f t="shared" si="20"/>
        <v>5</v>
      </c>
      <c r="F223" s="7">
        <f t="shared" si="23"/>
        <v>2</v>
      </c>
      <c r="G223" s="7" t="str">
        <f t="shared" si="21"/>
        <v>Thu</v>
      </c>
      <c r="H223" s="2">
        <v>202</v>
      </c>
    </row>
    <row r="224" spans="2:8" x14ac:dyDescent="0.2">
      <c r="B224" s="6">
        <f t="shared" si="22"/>
        <v>41495</v>
      </c>
      <c r="C224" s="7">
        <f t="shared" si="18"/>
        <v>9</v>
      </c>
      <c r="D224" s="7" t="str">
        <f t="shared" si="19"/>
        <v>Aug</v>
      </c>
      <c r="E224" s="7">
        <f t="shared" si="20"/>
        <v>6</v>
      </c>
      <c r="F224" s="7">
        <f t="shared" si="23"/>
        <v>2</v>
      </c>
      <c r="G224" s="7" t="str">
        <f t="shared" si="21"/>
        <v>Fri</v>
      </c>
      <c r="H224" s="2">
        <v>211</v>
      </c>
    </row>
    <row r="225" spans="2:8" x14ac:dyDescent="0.2">
      <c r="B225" s="6">
        <f t="shared" si="22"/>
        <v>41496</v>
      </c>
      <c r="C225" s="7">
        <f t="shared" si="18"/>
        <v>10</v>
      </c>
      <c r="D225" s="7" t="str">
        <f t="shared" si="19"/>
        <v>Aug</v>
      </c>
      <c r="E225" s="7">
        <f t="shared" si="20"/>
        <v>7</v>
      </c>
      <c r="F225" s="7">
        <f t="shared" si="23"/>
        <v>2</v>
      </c>
      <c r="G225" s="7" t="str">
        <f t="shared" si="21"/>
        <v>Sat</v>
      </c>
      <c r="H225" s="2">
        <v>224</v>
      </c>
    </row>
    <row r="226" spans="2:8" x14ac:dyDescent="0.2">
      <c r="B226" s="6">
        <f t="shared" si="22"/>
        <v>41497</v>
      </c>
      <c r="C226" s="7">
        <f t="shared" si="18"/>
        <v>11</v>
      </c>
      <c r="D226" s="7" t="str">
        <f t="shared" si="19"/>
        <v>Aug</v>
      </c>
      <c r="E226" s="7">
        <f t="shared" si="20"/>
        <v>1</v>
      </c>
      <c r="F226" s="7">
        <f t="shared" si="23"/>
        <v>3</v>
      </c>
      <c r="G226" s="7" t="str">
        <f t="shared" si="21"/>
        <v>Sun</v>
      </c>
      <c r="H226" s="2">
        <v>225</v>
      </c>
    </row>
    <row r="227" spans="2:8" x14ac:dyDescent="0.2">
      <c r="B227" s="6">
        <f t="shared" si="22"/>
        <v>41498</v>
      </c>
      <c r="C227" s="7">
        <f t="shared" si="18"/>
        <v>12</v>
      </c>
      <c r="D227" s="7" t="str">
        <f t="shared" si="19"/>
        <v>Aug</v>
      </c>
      <c r="E227" s="7">
        <f t="shared" si="20"/>
        <v>2</v>
      </c>
      <c r="F227" s="7">
        <f t="shared" si="23"/>
        <v>3</v>
      </c>
      <c r="G227" s="7" t="str">
        <f t="shared" si="21"/>
        <v>Mon</v>
      </c>
      <c r="H227" s="2">
        <v>169</v>
      </c>
    </row>
    <row r="228" spans="2:8" x14ac:dyDescent="0.2">
      <c r="B228" s="6">
        <f t="shared" si="22"/>
        <v>41499</v>
      </c>
      <c r="C228" s="7">
        <f t="shared" si="18"/>
        <v>13</v>
      </c>
      <c r="D228" s="7" t="str">
        <f t="shared" si="19"/>
        <v>Aug</v>
      </c>
      <c r="E228" s="7">
        <f t="shared" si="20"/>
        <v>3</v>
      </c>
      <c r="F228" s="7">
        <f t="shared" si="23"/>
        <v>3</v>
      </c>
      <c r="G228" s="7" t="str">
        <f t="shared" si="21"/>
        <v>Tue</v>
      </c>
      <c r="H228" s="2">
        <v>231</v>
      </c>
    </row>
    <row r="229" spans="2:8" x14ac:dyDescent="0.2">
      <c r="B229" s="6">
        <f t="shared" si="22"/>
        <v>41500</v>
      </c>
      <c r="C229" s="7">
        <f t="shared" si="18"/>
        <v>14</v>
      </c>
      <c r="D229" s="7" t="str">
        <f t="shared" si="19"/>
        <v>Aug</v>
      </c>
      <c r="E229" s="7">
        <f t="shared" si="20"/>
        <v>4</v>
      </c>
      <c r="F229" s="7">
        <f t="shared" si="23"/>
        <v>3</v>
      </c>
      <c r="G229" s="7" t="str">
        <f t="shared" si="21"/>
        <v>Wed</v>
      </c>
      <c r="H229" s="2">
        <v>191</v>
      </c>
    </row>
    <row r="230" spans="2:8" x14ac:dyDescent="0.2">
      <c r="B230" s="6">
        <f t="shared" si="22"/>
        <v>41501</v>
      </c>
      <c r="C230" s="7">
        <f t="shared" si="18"/>
        <v>15</v>
      </c>
      <c r="D230" s="7" t="str">
        <f t="shared" si="19"/>
        <v>Aug</v>
      </c>
      <c r="E230" s="7">
        <f t="shared" si="20"/>
        <v>5</v>
      </c>
      <c r="F230" s="7">
        <f t="shared" si="23"/>
        <v>3</v>
      </c>
      <c r="G230" s="7" t="str">
        <f t="shared" si="21"/>
        <v>Thu</v>
      </c>
      <c r="H230" s="2">
        <v>203</v>
      </c>
    </row>
    <row r="231" spans="2:8" x14ac:dyDescent="0.2">
      <c r="B231" s="6">
        <f t="shared" si="22"/>
        <v>41502</v>
      </c>
      <c r="C231" s="7">
        <f t="shared" si="18"/>
        <v>16</v>
      </c>
      <c r="D231" s="7" t="str">
        <f t="shared" si="19"/>
        <v>Aug</v>
      </c>
      <c r="E231" s="7">
        <f t="shared" si="20"/>
        <v>6</v>
      </c>
      <c r="F231" s="7">
        <f t="shared" si="23"/>
        <v>3</v>
      </c>
      <c r="G231" s="7" t="str">
        <f t="shared" si="21"/>
        <v>Fri</v>
      </c>
      <c r="H231" s="2">
        <v>219</v>
      </c>
    </row>
    <row r="232" spans="2:8" x14ac:dyDescent="0.2">
      <c r="B232" s="6">
        <f t="shared" si="22"/>
        <v>41503</v>
      </c>
      <c r="C232" s="7">
        <f t="shared" si="18"/>
        <v>17</v>
      </c>
      <c r="D232" s="7" t="str">
        <f t="shared" si="19"/>
        <v>Aug</v>
      </c>
      <c r="E232" s="7">
        <f t="shared" si="20"/>
        <v>7</v>
      </c>
      <c r="F232" s="7">
        <f t="shared" si="23"/>
        <v>3</v>
      </c>
      <c r="G232" s="7" t="str">
        <f t="shared" si="21"/>
        <v>Sat</v>
      </c>
      <c r="H232" s="2">
        <v>200</v>
      </c>
    </row>
    <row r="233" spans="2:8" x14ac:dyDescent="0.2">
      <c r="B233" s="6">
        <f t="shared" si="22"/>
        <v>41504</v>
      </c>
      <c r="C233" s="7">
        <f t="shared" si="18"/>
        <v>18</v>
      </c>
      <c r="D233" s="7" t="str">
        <f t="shared" si="19"/>
        <v>Aug</v>
      </c>
      <c r="E233" s="7">
        <f t="shared" si="20"/>
        <v>1</v>
      </c>
      <c r="F233" s="7">
        <f t="shared" si="23"/>
        <v>4</v>
      </c>
      <c r="G233" s="7" t="str">
        <f t="shared" si="21"/>
        <v>Sun</v>
      </c>
      <c r="H233" s="2">
        <v>188</v>
      </c>
    </row>
    <row r="234" spans="2:8" x14ac:dyDescent="0.2">
      <c r="B234" s="6">
        <f t="shared" si="22"/>
        <v>41505</v>
      </c>
      <c r="C234" s="7">
        <f t="shared" si="18"/>
        <v>19</v>
      </c>
      <c r="D234" s="7" t="str">
        <f t="shared" si="19"/>
        <v>Aug</v>
      </c>
      <c r="E234" s="7">
        <f t="shared" si="20"/>
        <v>2</v>
      </c>
      <c r="F234" s="7">
        <f t="shared" si="23"/>
        <v>4</v>
      </c>
      <c r="G234" s="7" t="str">
        <f t="shared" si="21"/>
        <v>Mon</v>
      </c>
      <c r="H234" s="2">
        <v>226</v>
      </c>
    </row>
    <row r="235" spans="2:8" x14ac:dyDescent="0.2">
      <c r="B235" s="6">
        <f t="shared" si="22"/>
        <v>41506</v>
      </c>
      <c r="C235" s="7">
        <f t="shared" si="18"/>
        <v>20</v>
      </c>
      <c r="D235" s="7" t="str">
        <f t="shared" si="19"/>
        <v>Aug</v>
      </c>
      <c r="E235" s="7">
        <f t="shared" si="20"/>
        <v>3</v>
      </c>
      <c r="F235" s="7">
        <f t="shared" si="23"/>
        <v>4</v>
      </c>
      <c r="G235" s="7" t="str">
        <f t="shared" si="21"/>
        <v>Tue</v>
      </c>
      <c r="H235" s="2">
        <v>228</v>
      </c>
    </row>
    <row r="236" spans="2:8" x14ac:dyDescent="0.2">
      <c r="B236" s="6">
        <f t="shared" si="22"/>
        <v>41507</v>
      </c>
      <c r="C236" s="7">
        <f t="shared" si="18"/>
        <v>21</v>
      </c>
      <c r="D236" s="7" t="str">
        <f t="shared" si="19"/>
        <v>Aug</v>
      </c>
      <c r="E236" s="7">
        <f t="shared" si="20"/>
        <v>4</v>
      </c>
      <c r="F236" s="7">
        <f t="shared" si="23"/>
        <v>4</v>
      </c>
      <c r="G236" s="7" t="str">
        <f t="shared" si="21"/>
        <v>Wed</v>
      </c>
      <c r="H236" s="2">
        <v>193</v>
      </c>
    </row>
    <row r="237" spans="2:8" x14ac:dyDescent="0.2">
      <c r="B237" s="6">
        <f t="shared" si="22"/>
        <v>41508</v>
      </c>
      <c r="C237" s="7">
        <f t="shared" si="18"/>
        <v>22</v>
      </c>
      <c r="D237" s="7" t="str">
        <f t="shared" si="19"/>
        <v>Aug</v>
      </c>
      <c r="E237" s="7">
        <f t="shared" si="20"/>
        <v>5</v>
      </c>
      <c r="F237" s="7">
        <f t="shared" si="23"/>
        <v>4</v>
      </c>
      <c r="G237" s="7" t="str">
        <f t="shared" si="21"/>
        <v>Thu</v>
      </c>
      <c r="H237" s="2">
        <v>184</v>
      </c>
    </row>
    <row r="238" spans="2:8" x14ac:dyDescent="0.2">
      <c r="B238" s="6">
        <f t="shared" si="22"/>
        <v>41509</v>
      </c>
      <c r="C238" s="7">
        <f t="shared" si="18"/>
        <v>23</v>
      </c>
      <c r="D238" s="7" t="str">
        <f t="shared" si="19"/>
        <v>Aug</v>
      </c>
      <c r="E238" s="7">
        <f t="shared" si="20"/>
        <v>6</v>
      </c>
      <c r="F238" s="7">
        <f t="shared" si="23"/>
        <v>4</v>
      </c>
      <c r="G238" s="7" t="str">
        <f t="shared" si="21"/>
        <v>Fri</v>
      </c>
      <c r="H238" s="2">
        <v>225</v>
      </c>
    </row>
    <row r="239" spans="2:8" x14ac:dyDescent="0.2">
      <c r="B239" s="6">
        <f t="shared" si="22"/>
        <v>41510</v>
      </c>
      <c r="C239" s="7">
        <f t="shared" si="18"/>
        <v>24</v>
      </c>
      <c r="D239" s="7" t="str">
        <f t="shared" si="19"/>
        <v>Aug</v>
      </c>
      <c r="E239" s="7">
        <f t="shared" si="20"/>
        <v>7</v>
      </c>
      <c r="F239" s="7">
        <f t="shared" si="23"/>
        <v>4</v>
      </c>
      <c r="G239" s="7" t="str">
        <f t="shared" si="21"/>
        <v>Sat</v>
      </c>
      <c r="H239" s="2">
        <v>184</v>
      </c>
    </row>
    <row r="240" spans="2:8" x14ac:dyDescent="0.2">
      <c r="B240" s="6">
        <f t="shared" si="22"/>
        <v>41511</v>
      </c>
      <c r="C240" s="7">
        <f t="shared" si="18"/>
        <v>25</v>
      </c>
      <c r="D240" s="7" t="str">
        <f t="shared" si="19"/>
        <v>Aug</v>
      </c>
      <c r="E240" s="7">
        <f t="shared" si="20"/>
        <v>1</v>
      </c>
      <c r="F240" s="7">
        <f t="shared" si="23"/>
        <v>5</v>
      </c>
      <c r="G240" s="7" t="str">
        <f t="shared" si="21"/>
        <v>Sun</v>
      </c>
      <c r="H240" s="2">
        <v>220</v>
      </c>
    </row>
    <row r="241" spans="2:8" x14ac:dyDescent="0.2">
      <c r="B241" s="6">
        <f t="shared" si="22"/>
        <v>41512</v>
      </c>
      <c r="C241" s="7">
        <f t="shared" si="18"/>
        <v>26</v>
      </c>
      <c r="D241" s="7" t="str">
        <f t="shared" si="19"/>
        <v>Aug</v>
      </c>
      <c r="E241" s="7">
        <f t="shared" si="20"/>
        <v>2</v>
      </c>
      <c r="F241" s="7">
        <f t="shared" si="23"/>
        <v>5</v>
      </c>
      <c r="G241" s="7" t="str">
        <f t="shared" si="21"/>
        <v>Mon</v>
      </c>
      <c r="H241" s="2">
        <v>212</v>
      </c>
    </row>
    <row r="242" spans="2:8" x14ac:dyDescent="0.2">
      <c r="B242" s="6">
        <f t="shared" si="22"/>
        <v>41513</v>
      </c>
      <c r="C242" s="7">
        <f t="shared" si="18"/>
        <v>27</v>
      </c>
      <c r="D242" s="7" t="str">
        <f t="shared" si="19"/>
        <v>Aug</v>
      </c>
      <c r="E242" s="7">
        <f t="shared" si="20"/>
        <v>3</v>
      </c>
      <c r="F242" s="7">
        <f t="shared" si="23"/>
        <v>5</v>
      </c>
      <c r="G242" s="7" t="str">
        <f t="shared" si="21"/>
        <v>Tue</v>
      </c>
      <c r="H242" s="2">
        <v>176</v>
      </c>
    </row>
    <row r="243" spans="2:8" x14ac:dyDescent="0.2">
      <c r="B243" s="6">
        <f t="shared" si="22"/>
        <v>41514</v>
      </c>
      <c r="C243" s="7">
        <f t="shared" si="18"/>
        <v>28</v>
      </c>
      <c r="D243" s="7" t="str">
        <f t="shared" si="19"/>
        <v>Aug</v>
      </c>
      <c r="E243" s="7">
        <f t="shared" si="20"/>
        <v>4</v>
      </c>
      <c r="F243" s="7">
        <f t="shared" si="23"/>
        <v>5</v>
      </c>
      <c r="G243" s="7" t="str">
        <f t="shared" si="21"/>
        <v>Wed</v>
      </c>
      <c r="H243" s="2">
        <v>195</v>
      </c>
    </row>
    <row r="244" spans="2:8" x14ac:dyDescent="0.2">
      <c r="B244" s="6">
        <f t="shared" si="22"/>
        <v>41515</v>
      </c>
      <c r="C244" s="7">
        <f t="shared" si="18"/>
        <v>29</v>
      </c>
      <c r="D244" s="7" t="str">
        <f t="shared" si="19"/>
        <v>Aug</v>
      </c>
      <c r="E244" s="7">
        <f t="shared" si="20"/>
        <v>5</v>
      </c>
      <c r="F244" s="7">
        <f t="shared" si="23"/>
        <v>5</v>
      </c>
      <c r="G244" s="7" t="str">
        <f t="shared" si="21"/>
        <v>Thu</v>
      </c>
      <c r="H244" s="2">
        <v>222</v>
      </c>
    </row>
    <row r="245" spans="2:8" x14ac:dyDescent="0.2">
      <c r="B245" s="6">
        <f t="shared" si="22"/>
        <v>41516</v>
      </c>
      <c r="C245" s="7">
        <f t="shared" si="18"/>
        <v>30</v>
      </c>
      <c r="D245" s="7" t="str">
        <f t="shared" si="19"/>
        <v>Aug</v>
      </c>
      <c r="E245" s="7">
        <f t="shared" si="20"/>
        <v>6</v>
      </c>
      <c r="F245" s="7">
        <f t="shared" si="23"/>
        <v>5</v>
      </c>
      <c r="G245" s="7" t="str">
        <f t="shared" si="21"/>
        <v>Fri</v>
      </c>
      <c r="H245" s="2">
        <v>191</v>
      </c>
    </row>
    <row r="246" spans="2:8" x14ac:dyDescent="0.2">
      <c r="B246" s="6">
        <f t="shared" si="22"/>
        <v>41517</v>
      </c>
      <c r="C246" s="7">
        <f t="shared" si="18"/>
        <v>31</v>
      </c>
      <c r="D246" s="7" t="str">
        <f t="shared" si="19"/>
        <v>Aug</v>
      </c>
      <c r="E246" s="7">
        <f t="shared" si="20"/>
        <v>7</v>
      </c>
      <c r="F246" s="7">
        <f t="shared" si="23"/>
        <v>5</v>
      </c>
      <c r="G246" s="7" t="str">
        <f t="shared" si="21"/>
        <v>Sat</v>
      </c>
      <c r="H246" s="2">
        <v>183</v>
      </c>
    </row>
    <row r="247" spans="2:8" x14ac:dyDescent="0.2">
      <c r="B247" s="6">
        <f t="shared" si="22"/>
        <v>41518</v>
      </c>
      <c r="C247" s="7">
        <f t="shared" si="18"/>
        <v>1</v>
      </c>
      <c r="D247" s="7" t="str">
        <f t="shared" si="19"/>
        <v>Sep</v>
      </c>
      <c r="E247" s="7">
        <f t="shared" si="20"/>
        <v>1</v>
      </c>
      <c r="F247" s="7">
        <f t="shared" si="23"/>
        <v>1</v>
      </c>
      <c r="G247" s="7" t="str">
        <f t="shared" si="21"/>
        <v>Sun</v>
      </c>
      <c r="H247" s="2">
        <v>177</v>
      </c>
    </row>
    <row r="248" spans="2:8" x14ac:dyDescent="0.2">
      <c r="B248" s="6">
        <f t="shared" si="22"/>
        <v>41519</v>
      </c>
      <c r="C248" s="7">
        <f t="shared" si="18"/>
        <v>2</v>
      </c>
      <c r="D248" s="7" t="str">
        <f t="shared" si="19"/>
        <v>Sep</v>
      </c>
      <c r="E248" s="7">
        <f t="shared" si="20"/>
        <v>2</v>
      </c>
      <c r="F248" s="7">
        <f t="shared" si="23"/>
        <v>1</v>
      </c>
      <c r="G248" s="7" t="str">
        <f t="shared" si="21"/>
        <v>Mon</v>
      </c>
      <c r="H248" s="2">
        <v>196</v>
      </c>
    </row>
    <row r="249" spans="2:8" x14ac:dyDescent="0.2">
      <c r="B249" s="6">
        <f t="shared" si="22"/>
        <v>41520</v>
      </c>
      <c r="C249" s="7">
        <f t="shared" si="18"/>
        <v>3</v>
      </c>
      <c r="D249" s="7" t="str">
        <f t="shared" si="19"/>
        <v>Sep</v>
      </c>
      <c r="E249" s="7">
        <f t="shared" si="20"/>
        <v>3</v>
      </c>
      <c r="F249" s="7">
        <f t="shared" si="23"/>
        <v>1</v>
      </c>
      <c r="G249" s="7" t="str">
        <f t="shared" si="21"/>
        <v>Tue</v>
      </c>
      <c r="H249" s="2">
        <v>209</v>
      </c>
    </row>
    <row r="250" spans="2:8" x14ac:dyDescent="0.2">
      <c r="B250" s="6">
        <f t="shared" si="22"/>
        <v>41521</v>
      </c>
      <c r="C250" s="7">
        <f t="shared" si="18"/>
        <v>4</v>
      </c>
      <c r="D250" s="7" t="str">
        <f t="shared" si="19"/>
        <v>Sep</v>
      </c>
      <c r="E250" s="7">
        <f t="shared" si="20"/>
        <v>4</v>
      </c>
      <c r="F250" s="7">
        <f t="shared" si="23"/>
        <v>1</v>
      </c>
      <c r="G250" s="7" t="str">
        <f t="shared" si="21"/>
        <v>Wed</v>
      </c>
      <c r="H250" s="2">
        <v>234</v>
      </c>
    </row>
    <row r="251" spans="2:8" x14ac:dyDescent="0.2">
      <c r="B251" s="6">
        <f t="shared" si="22"/>
        <v>41522</v>
      </c>
      <c r="C251" s="7">
        <f t="shared" si="18"/>
        <v>5</v>
      </c>
      <c r="D251" s="7" t="str">
        <f t="shared" si="19"/>
        <v>Sep</v>
      </c>
      <c r="E251" s="7">
        <f t="shared" si="20"/>
        <v>5</v>
      </c>
      <c r="F251" s="7">
        <f t="shared" si="23"/>
        <v>1</v>
      </c>
      <c r="G251" s="7" t="str">
        <f t="shared" si="21"/>
        <v>Thu</v>
      </c>
      <c r="H251" s="2">
        <v>197</v>
      </c>
    </row>
    <row r="252" spans="2:8" x14ac:dyDescent="0.2">
      <c r="B252" s="6">
        <f t="shared" si="22"/>
        <v>41523</v>
      </c>
      <c r="C252" s="7">
        <f t="shared" si="18"/>
        <v>6</v>
      </c>
      <c r="D252" s="7" t="str">
        <f t="shared" si="19"/>
        <v>Sep</v>
      </c>
      <c r="E252" s="7">
        <f t="shared" si="20"/>
        <v>6</v>
      </c>
      <c r="F252" s="7">
        <f t="shared" si="23"/>
        <v>1</v>
      </c>
      <c r="G252" s="7" t="str">
        <f t="shared" si="21"/>
        <v>Fri</v>
      </c>
      <c r="H252" s="2">
        <v>170</v>
      </c>
    </row>
    <row r="253" spans="2:8" x14ac:dyDescent="0.2">
      <c r="B253" s="6">
        <f t="shared" si="22"/>
        <v>41524</v>
      </c>
      <c r="C253" s="7">
        <f t="shared" si="18"/>
        <v>7</v>
      </c>
      <c r="D253" s="7" t="str">
        <f t="shared" si="19"/>
        <v>Sep</v>
      </c>
      <c r="E253" s="7">
        <f t="shared" si="20"/>
        <v>7</v>
      </c>
      <c r="F253" s="7">
        <f t="shared" si="23"/>
        <v>1</v>
      </c>
      <c r="G253" s="7" t="str">
        <f t="shared" si="21"/>
        <v>Sat</v>
      </c>
      <c r="H253" s="2">
        <v>221</v>
      </c>
    </row>
    <row r="254" spans="2:8" x14ac:dyDescent="0.2">
      <c r="B254" s="6">
        <f t="shared" si="22"/>
        <v>41525</v>
      </c>
      <c r="C254" s="7">
        <f t="shared" si="18"/>
        <v>8</v>
      </c>
      <c r="D254" s="7" t="str">
        <f t="shared" si="19"/>
        <v>Sep</v>
      </c>
      <c r="E254" s="7">
        <f t="shared" si="20"/>
        <v>1</v>
      </c>
      <c r="F254" s="7">
        <f t="shared" si="23"/>
        <v>2</v>
      </c>
      <c r="G254" s="7" t="str">
        <f t="shared" si="21"/>
        <v>Sun</v>
      </c>
      <c r="H254" s="2">
        <v>180</v>
      </c>
    </row>
    <row r="255" spans="2:8" x14ac:dyDescent="0.2">
      <c r="B255" s="6">
        <f t="shared" si="22"/>
        <v>41526</v>
      </c>
      <c r="C255" s="7">
        <f t="shared" si="18"/>
        <v>9</v>
      </c>
      <c r="D255" s="7" t="str">
        <f t="shared" si="19"/>
        <v>Sep</v>
      </c>
      <c r="E255" s="7">
        <f t="shared" si="20"/>
        <v>2</v>
      </c>
      <c r="F255" s="7">
        <f t="shared" si="23"/>
        <v>2</v>
      </c>
      <c r="G255" s="7" t="str">
        <f t="shared" si="21"/>
        <v>Mon</v>
      </c>
      <c r="H255" s="2">
        <v>226</v>
      </c>
    </row>
    <row r="256" spans="2:8" x14ac:dyDescent="0.2">
      <c r="B256" s="6">
        <f t="shared" si="22"/>
        <v>41527</v>
      </c>
      <c r="C256" s="7">
        <f t="shared" si="18"/>
        <v>10</v>
      </c>
      <c r="D256" s="7" t="str">
        <f t="shared" si="19"/>
        <v>Sep</v>
      </c>
      <c r="E256" s="7">
        <f t="shared" si="20"/>
        <v>3</v>
      </c>
      <c r="F256" s="7">
        <f t="shared" si="23"/>
        <v>2</v>
      </c>
      <c r="G256" s="7" t="str">
        <f t="shared" si="21"/>
        <v>Tue</v>
      </c>
      <c r="H256" s="2">
        <v>224</v>
      </c>
    </row>
    <row r="257" spans="2:8" x14ac:dyDescent="0.2">
      <c r="B257" s="6">
        <f t="shared" si="22"/>
        <v>41528</v>
      </c>
      <c r="C257" s="7">
        <f t="shared" si="18"/>
        <v>11</v>
      </c>
      <c r="D257" s="7" t="str">
        <f t="shared" si="19"/>
        <v>Sep</v>
      </c>
      <c r="E257" s="7">
        <f t="shared" si="20"/>
        <v>4</v>
      </c>
      <c r="F257" s="7">
        <f t="shared" si="23"/>
        <v>2</v>
      </c>
      <c r="G257" s="7" t="str">
        <f t="shared" si="21"/>
        <v>Wed</v>
      </c>
      <c r="H257" s="2">
        <v>209</v>
      </c>
    </row>
    <row r="258" spans="2:8" x14ac:dyDescent="0.2">
      <c r="B258" s="6">
        <f t="shared" si="22"/>
        <v>41529</v>
      </c>
      <c r="C258" s="7">
        <f t="shared" si="18"/>
        <v>12</v>
      </c>
      <c r="D258" s="7" t="str">
        <f t="shared" si="19"/>
        <v>Sep</v>
      </c>
      <c r="E258" s="7">
        <f t="shared" si="20"/>
        <v>5</v>
      </c>
      <c r="F258" s="7">
        <f t="shared" si="23"/>
        <v>2</v>
      </c>
      <c r="G258" s="7" t="str">
        <f t="shared" si="21"/>
        <v>Thu</v>
      </c>
      <c r="H258" s="2">
        <v>188</v>
      </c>
    </row>
    <row r="259" spans="2:8" x14ac:dyDescent="0.2">
      <c r="B259" s="6">
        <f t="shared" si="22"/>
        <v>41530</v>
      </c>
      <c r="C259" s="7">
        <f t="shared" si="18"/>
        <v>13</v>
      </c>
      <c r="D259" s="7" t="str">
        <f t="shared" si="19"/>
        <v>Sep</v>
      </c>
      <c r="E259" s="7">
        <f t="shared" si="20"/>
        <v>6</v>
      </c>
      <c r="F259" s="7">
        <f t="shared" si="23"/>
        <v>2</v>
      </c>
      <c r="G259" s="7" t="str">
        <f t="shared" si="21"/>
        <v>Fri</v>
      </c>
      <c r="H259" s="2">
        <v>170</v>
      </c>
    </row>
    <row r="260" spans="2:8" x14ac:dyDescent="0.2">
      <c r="B260" s="6">
        <f t="shared" si="22"/>
        <v>41531</v>
      </c>
      <c r="C260" s="7">
        <f t="shared" si="18"/>
        <v>14</v>
      </c>
      <c r="D260" s="7" t="str">
        <f t="shared" si="19"/>
        <v>Sep</v>
      </c>
      <c r="E260" s="7">
        <f t="shared" si="20"/>
        <v>7</v>
      </c>
      <c r="F260" s="7">
        <f t="shared" si="23"/>
        <v>2</v>
      </c>
      <c r="G260" s="7" t="str">
        <f t="shared" si="21"/>
        <v>Sat</v>
      </c>
      <c r="H260" s="2">
        <v>185</v>
      </c>
    </row>
    <row r="261" spans="2:8" x14ac:dyDescent="0.2">
      <c r="B261" s="6">
        <f t="shared" si="22"/>
        <v>41532</v>
      </c>
      <c r="C261" s="7">
        <f t="shared" ref="C261:C324" si="24">DAY(B261)</f>
        <v>15</v>
      </c>
      <c r="D261" s="7" t="str">
        <f t="shared" ref="D261:D324" si="25">TEXT(B261,"mmm")</f>
        <v>Sep</v>
      </c>
      <c r="E261" s="7">
        <f t="shared" ref="E261:E324" si="26">WEEKDAY(B261)</f>
        <v>1</v>
      </c>
      <c r="F261" s="7">
        <f t="shared" si="23"/>
        <v>3</v>
      </c>
      <c r="G261" s="7" t="str">
        <f t="shared" ref="G261:G324" si="27">TEXT(B261,"ddd")</f>
        <v>Sun</v>
      </c>
      <c r="H261" s="2">
        <v>181</v>
      </c>
    </row>
    <row r="262" spans="2:8" x14ac:dyDescent="0.2">
      <c r="B262" s="6">
        <f t="shared" ref="B262:B325" si="28">B261+1</f>
        <v>41533</v>
      </c>
      <c r="C262" s="7">
        <f t="shared" si="24"/>
        <v>16</v>
      </c>
      <c r="D262" s="7" t="str">
        <f t="shared" si="25"/>
        <v>Sep</v>
      </c>
      <c r="E262" s="7">
        <f t="shared" si="26"/>
        <v>2</v>
      </c>
      <c r="F262" s="7">
        <f t="shared" ref="F262:F325" si="29">IF(D262=D261,IF(E262=1,F261+1,F261),1)</f>
        <v>3</v>
      </c>
      <c r="G262" s="7" t="str">
        <f t="shared" si="27"/>
        <v>Mon</v>
      </c>
      <c r="H262" s="2">
        <v>196</v>
      </c>
    </row>
    <row r="263" spans="2:8" x14ac:dyDescent="0.2">
      <c r="B263" s="6">
        <f t="shared" si="28"/>
        <v>41534</v>
      </c>
      <c r="C263" s="7">
        <f t="shared" si="24"/>
        <v>17</v>
      </c>
      <c r="D263" s="7" t="str">
        <f t="shared" si="25"/>
        <v>Sep</v>
      </c>
      <c r="E263" s="7">
        <f t="shared" si="26"/>
        <v>3</v>
      </c>
      <c r="F263" s="7">
        <f t="shared" si="29"/>
        <v>3</v>
      </c>
      <c r="G263" s="7" t="str">
        <f t="shared" si="27"/>
        <v>Tue</v>
      </c>
      <c r="H263" s="2">
        <v>218</v>
      </c>
    </row>
    <row r="264" spans="2:8" x14ac:dyDescent="0.2">
      <c r="B264" s="6">
        <f t="shared" si="28"/>
        <v>41535</v>
      </c>
      <c r="C264" s="7">
        <f t="shared" si="24"/>
        <v>18</v>
      </c>
      <c r="D264" s="7" t="str">
        <f t="shared" si="25"/>
        <v>Sep</v>
      </c>
      <c r="E264" s="7">
        <f t="shared" si="26"/>
        <v>4</v>
      </c>
      <c r="F264" s="7">
        <f t="shared" si="29"/>
        <v>3</v>
      </c>
      <c r="G264" s="7" t="str">
        <f t="shared" si="27"/>
        <v>Wed</v>
      </c>
      <c r="H264" s="2">
        <v>224</v>
      </c>
    </row>
    <row r="265" spans="2:8" x14ac:dyDescent="0.2">
      <c r="B265" s="6">
        <f t="shared" si="28"/>
        <v>41536</v>
      </c>
      <c r="C265" s="7">
        <f t="shared" si="24"/>
        <v>19</v>
      </c>
      <c r="D265" s="7" t="str">
        <f t="shared" si="25"/>
        <v>Sep</v>
      </c>
      <c r="E265" s="7">
        <f t="shared" si="26"/>
        <v>5</v>
      </c>
      <c r="F265" s="7">
        <f t="shared" si="29"/>
        <v>3</v>
      </c>
      <c r="G265" s="7" t="str">
        <f t="shared" si="27"/>
        <v>Thu</v>
      </c>
      <c r="H265" s="2">
        <v>220</v>
      </c>
    </row>
    <row r="266" spans="2:8" x14ac:dyDescent="0.2">
      <c r="B266" s="6">
        <f t="shared" si="28"/>
        <v>41537</v>
      </c>
      <c r="C266" s="7">
        <f t="shared" si="24"/>
        <v>20</v>
      </c>
      <c r="D266" s="7" t="str">
        <f t="shared" si="25"/>
        <v>Sep</v>
      </c>
      <c r="E266" s="7">
        <f t="shared" si="26"/>
        <v>6</v>
      </c>
      <c r="F266" s="7">
        <f t="shared" si="29"/>
        <v>3</v>
      </c>
      <c r="G266" s="7" t="str">
        <f t="shared" si="27"/>
        <v>Fri</v>
      </c>
      <c r="H266" s="2">
        <v>229</v>
      </c>
    </row>
    <row r="267" spans="2:8" x14ac:dyDescent="0.2">
      <c r="B267" s="6">
        <f t="shared" si="28"/>
        <v>41538</v>
      </c>
      <c r="C267" s="7">
        <f t="shared" si="24"/>
        <v>21</v>
      </c>
      <c r="D267" s="7" t="str">
        <f t="shared" si="25"/>
        <v>Sep</v>
      </c>
      <c r="E267" s="7">
        <f t="shared" si="26"/>
        <v>7</v>
      </c>
      <c r="F267" s="7">
        <f t="shared" si="29"/>
        <v>3</v>
      </c>
      <c r="G267" s="7" t="str">
        <f t="shared" si="27"/>
        <v>Sat</v>
      </c>
      <c r="H267" s="2">
        <v>168</v>
      </c>
    </row>
    <row r="268" spans="2:8" x14ac:dyDescent="0.2">
      <c r="B268" s="6">
        <f t="shared" si="28"/>
        <v>41539</v>
      </c>
      <c r="C268" s="7">
        <f t="shared" si="24"/>
        <v>22</v>
      </c>
      <c r="D268" s="7" t="str">
        <f t="shared" si="25"/>
        <v>Sep</v>
      </c>
      <c r="E268" s="7">
        <f t="shared" si="26"/>
        <v>1</v>
      </c>
      <c r="F268" s="7">
        <f t="shared" si="29"/>
        <v>4</v>
      </c>
      <c r="G268" s="7" t="str">
        <f t="shared" si="27"/>
        <v>Sun</v>
      </c>
      <c r="H268" s="2">
        <v>219</v>
      </c>
    </row>
    <row r="269" spans="2:8" x14ac:dyDescent="0.2">
      <c r="B269" s="6">
        <f t="shared" si="28"/>
        <v>41540</v>
      </c>
      <c r="C269" s="7">
        <f t="shared" si="24"/>
        <v>23</v>
      </c>
      <c r="D269" s="7" t="str">
        <f t="shared" si="25"/>
        <v>Sep</v>
      </c>
      <c r="E269" s="7">
        <f t="shared" si="26"/>
        <v>2</v>
      </c>
      <c r="F269" s="7">
        <f t="shared" si="29"/>
        <v>4</v>
      </c>
      <c r="G269" s="7" t="str">
        <f t="shared" si="27"/>
        <v>Mon</v>
      </c>
      <c r="H269" s="2">
        <v>219</v>
      </c>
    </row>
    <row r="270" spans="2:8" x14ac:dyDescent="0.2">
      <c r="B270" s="6">
        <f t="shared" si="28"/>
        <v>41541</v>
      </c>
      <c r="C270" s="7">
        <f t="shared" si="24"/>
        <v>24</v>
      </c>
      <c r="D270" s="7" t="str">
        <f t="shared" si="25"/>
        <v>Sep</v>
      </c>
      <c r="E270" s="7">
        <f t="shared" si="26"/>
        <v>3</v>
      </c>
      <c r="F270" s="7">
        <f t="shared" si="29"/>
        <v>4</v>
      </c>
      <c r="G270" s="7" t="str">
        <f t="shared" si="27"/>
        <v>Tue</v>
      </c>
      <c r="H270" s="2">
        <v>167</v>
      </c>
    </row>
    <row r="271" spans="2:8" x14ac:dyDescent="0.2">
      <c r="B271" s="6">
        <f t="shared" si="28"/>
        <v>41542</v>
      </c>
      <c r="C271" s="7">
        <f t="shared" si="24"/>
        <v>25</v>
      </c>
      <c r="D271" s="7" t="str">
        <f t="shared" si="25"/>
        <v>Sep</v>
      </c>
      <c r="E271" s="7">
        <f t="shared" si="26"/>
        <v>4</v>
      </c>
      <c r="F271" s="7">
        <f t="shared" si="29"/>
        <v>4</v>
      </c>
      <c r="G271" s="7" t="str">
        <f t="shared" si="27"/>
        <v>Wed</v>
      </c>
      <c r="H271" s="2">
        <v>211</v>
      </c>
    </row>
    <row r="272" spans="2:8" x14ac:dyDescent="0.2">
      <c r="B272" s="6">
        <f t="shared" si="28"/>
        <v>41543</v>
      </c>
      <c r="C272" s="7">
        <f t="shared" si="24"/>
        <v>26</v>
      </c>
      <c r="D272" s="7" t="str">
        <f t="shared" si="25"/>
        <v>Sep</v>
      </c>
      <c r="E272" s="7">
        <f t="shared" si="26"/>
        <v>5</v>
      </c>
      <c r="F272" s="7">
        <f t="shared" si="29"/>
        <v>4</v>
      </c>
      <c r="G272" s="7" t="str">
        <f t="shared" si="27"/>
        <v>Thu</v>
      </c>
      <c r="H272" s="2">
        <v>184</v>
      </c>
    </row>
    <row r="273" spans="2:8" x14ac:dyDescent="0.2">
      <c r="B273" s="6">
        <f t="shared" si="28"/>
        <v>41544</v>
      </c>
      <c r="C273" s="7">
        <f t="shared" si="24"/>
        <v>27</v>
      </c>
      <c r="D273" s="7" t="str">
        <f t="shared" si="25"/>
        <v>Sep</v>
      </c>
      <c r="E273" s="7">
        <f t="shared" si="26"/>
        <v>6</v>
      </c>
      <c r="F273" s="7">
        <f t="shared" si="29"/>
        <v>4</v>
      </c>
      <c r="G273" s="7" t="str">
        <f t="shared" si="27"/>
        <v>Fri</v>
      </c>
      <c r="H273" s="2">
        <v>229</v>
      </c>
    </row>
    <row r="274" spans="2:8" x14ac:dyDescent="0.2">
      <c r="B274" s="6">
        <f t="shared" si="28"/>
        <v>41545</v>
      </c>
      <c r="C274" s="7">
        <f t="shared" si="24"/>
        <v>28</v>
      </c>
      <c r="D274" s="7" t="str">
        <f t="shared" si="25"/>
        <v>Sep</v>
      </c>
      <c r="E274" s="7">
        <f t="shared" si="26"/>
        <v>7</v>
      </c>
      <c r="F274" s="7">
        <f t="shared" si="29"/>
        <v>4</v>
      </c>
      <c r="G274" s="7" t="str">
        <f t="shared" si="27"/>
        <v>Sat</v>
      </c>
      <c r="H274" s="2">
        <v>198</v>
      </c>
    </row>
    <row r="275" spans="2:8" x14ac:dyDescent="0.2">
      <c r="B275" s="6">
        <f t="shared" si="28"/>
        <v>41546</v>
      </c>
      <c r="C275" s="7">
        <f t="shared" si="24"/>
        <v>29</v>
      </c>
      <c r="D275" s="7" t="str">
        <f t="shared" si="25"/>
        <v>Sep</v>
      </c>
      <c r="E275" s="7">
        <f t="shared" si="26"/>
        <v>1</v>
      </c>
      <c r="F275" s="7">
        <f t="shared" si="29"/>
        <v>5</v>
      </c>
      <c r="G275" s="7" t="str">
        <f t="shared" si="27"/>
        <v>Sun</v>
      </c>
      <c r="H275" s="2">
        <v>230</v>
      </c>
    </row>
    <row r="276" spans="2:8" x14ac:dyDescent="0.2">
      <c r="B276" s="6">
        <f t="shared" si="28"/>
        <v>41547</v>
      </c>
      <c r="C276" s="7">
        <f t="shared" si="24"/>
        <v>30</v>
      </c>
      <c r="D276" s="7" t="str">
        <f t="shared" si="25"/>
        <v>Sep</v>
      </c>
      <c r="E276" s="7">
        <f t="shared" si="26"/>
        <v>2</v>
      </c>
      <c r="F276" s="7">
        <f t="shared" si="29"/>
        <v>5</v>
      </c>
      <c r="G276" s="7" t="str">
        <f t="shared" si="27"/>
        <v>Mon</v>
      </c>
      <c r="H276" s="2">
        <v>171</v>
      </c>
    </row>
    <row r="277" spans="2:8" x14ac:dyDescent="0.2">
      <c r="B277" s="6">
        <f t="shared" si="28"/>
        <v>41548</v>
      </c>
      <c r="C277" s="7">
        <f t="shared" si="24"/>
        <v>1</v>
      </c>
      <c r="D277" s="7" t="str">
        <f t="shared" si="25"/>
        <v>Oct</v>
      </c>
      <c r="E277" s="7">
        <f t="shared" si="26"/>
        <v>3</v>
      </c>
      <c r="F277" s="7">
        <f t="shared" si="29"/>
        <v>1</v>
      </c>
      <c r="G277" s="7" t="str">
        <f t="shared" si="27"/>
        <v>Tue</v>
      </c>
      <c r="H277" s="2">
        <v>215</v>
      </c>
    </row>
    <row r="278" spans="2:8" x14ac:dyDescent="0.2">
      <c r="B278" s="6">
        <f t="shared" si="28"/>
        <v>41549</v>
      </c>
      <c r="C278" s="7">
        <f t="shared" si="24"/>
        <v>2</v>
      </c>
      <c r="D278" s="7" t="str">
        <f t="shared" si="25"/>
        <v>Oct</v>
      </c>
      <c r="E278" s="7">
        <f t="shared" si="26"/>
        <v>4</v>
      </c>
      <c r="F278" s="7">
        <f t="shared" si="29"/>
        <v>1</v>
      </c>
      <c r="G278" s="7" t="str">
        <f t="shared" si="27"/>
        <v>Wed</v>
      </c>
      <c r="H278" s="2">
        <v>178</v>
      </c>
    </row>
    <row r="279" spans="2:8" x14ac:dyDescent="0.2">
      <c r="B279" s="6">
        <f t="shared" si="28"/>
        <v>41550</v>
      </c>
      <c r="C279" s="7">
        <f t="shared" si="24"/>
        <v>3</v>
      </c>
      <c r="D279" s="7" t="str">
        <f t="shared" si="25"/>
        <v>Oct</v>
      </c>
      <c r="E279" s="7">
        <f t="shared" si="26"/>
        <v>5</v>
      </c>
      <c r="F279" s="7">
        <f t="shared" si="29"/>
        <v>1</v>
      </c>
      <c r="G279" s="7" t="str">
        <f t="shared" si="27"/>
        <v>Thu</v>
      </c>
      <c r="H279" s="2">
        <v>220</v>
      </c>
    </row>
    <row r="280" spans="2:8" x14ac:dyDescent="0.2">
      <c r="B280" s="6">
        <f t="shared" si="28"/>
        <v>41551</v>
      </c>
      <c r="C280" s="7">
        <f t="shared" si="24"/>
        <v>4</v>
      </c>
      <c r="D280" s="7" t="str">
        <f t="shared" si="25"/>
        <v>Oct</v>
      </c>
      <c r="E280" s="7">
        <f t="shared" si="26"/>
        <v>6</v>
      </c>
      <c r="F280" s="7">
        <f t="shared" si="29"/>
        <v>1</v>
      </c>
      <c r="G280" s="7" t="str">
        <f t="shared" si="27"/>
        <v>Fri</v>
      </c>
      <c r="H280" s="2">
        <v>195</v>
      </c>
    </row>
    <row r="281" spans="2:8" x14ac:dyDescent="0.2">
      <c r="B281" s="6">
        <f t="shared" si="28"/>
        <v>41552</v>
      </c>
      <c r="C281" s="7">
        <f t="shared" si="24"/>
        <v>5</v>
      </c>
      <c r="D281" s="7" t="str">
        <f t="shared" si="25"/>
        <v>Oct</v>
      </c>
      <c r="E281" s="7">
        <f t="shared" si="26"/>
        <v>7</v>
      </c>
      <c r="F281" s="7">
        <f t="shared" si="29"/>
        <v>1</v>
      </c>
      <c r="G281" s="7" t="str">
        <f t="shared" si="27"/>
        <v>Sat</v>
      </c>
      <c r="H281" s="2">
        <v>200</v>
      </c>
    </row>
    <row r="282" spans="2:8" x14ac:dyDescent="0.2">
      <c r="B282" s="6">
        <f t="shared" si="28"/>
        <v>41553</v>
      </c>
      <c r="C282" s="7">
        <f t="shared" si="24"/>
        <v>6</v>
      </c>
      <c r="D282" s="7" t="str">
        <f t="shared" si="25"/>
        <v>Oct</v>
      </c>
      <c r="E282" s="7">
        <f t="shared" si="26"/>
        <v>1</v>
      </c>
      <c r="F282" s="7">
        <f t="shared" si="29"/>
        <v>2</v>
      </c>
      <c r="G282" s="7" t="str">
        <f t="shared" si="27"/>
        <v>Sun</v>
      </c>
      <c r="H282" s="2">
        <v>170</v>
      </c>
    </row>
    <row r="283" spans="2:8" x14ac:dyDescent="0.2">
      <c r="B283" s="6">
        <f t="shared" si="28"/>
        <v>41554</v>
      </c>
      <c r="C283" s="7">
        <f t="shared" si="24"/>
        <v>7</v>
      </c>
      <c r="D283" s="7" t="str">
        <f t="shared" si="25"/>
        <v>Oct</v>
      </c>
      <c r="E283" s="7">
        <f t="shared" si="26"/>
        <v>2</v>
      </c>
      <c r="F283" s="7">
        <f t="shared" si="29"/>
        <v>2</v>
      </c>
      <c r="G283" s="7" t="str">
        <f t="shared" si="27"/>
        <v>Mon</v>
      </c>
      <c r="H283" s="2">
        <v>211</v>
      </c>
    </row>
    <row r="284" spans="2:8" x14ac:dyDescent="0.2">
      <c r="B284" s="6">
        <f t="shared" si="28"/>
        <v>41555</v>
      </c>
      <c r="C284" s="7">
        <f t="shared" si="24"/>
        <v>8</v>
      </c>
      <c r="D284" s="7" t="str">
        <f t="shared" si="25"/>
        <v>Oct</v>
      </c>
      <c r="E284" s="7">
        <f t="shared" si="26"/>
        <v>3</v>
      </c>
      <c r="F284" s="7">
        <f t="shared" si="29"/>
        <v>2</v>
      </c>
      <c r="G284" s="7" t="str">
        <f t="shared" si="27"/>
        <v>Tue</v>
      </c>
      <c r="H284" s="2">
        <v>172</v>
      </c>
    </row>
    <row r="285" spans="2:8" x14ac:dyDescent="0.2">
      <c r="B285" s="6">
        <f t="shared" si="28"/>
        <v>41556</v>
      </c>
      <c r="C285" s="7">
        <f t="shared" si="24"/>
        <v>9</v>
      </c>
      <c r="D285" s="7" t="str">
        <f t="shared" si="25"/>
        <v>Oct</v>
      </c>
      <c r="E285" s="7">
        <f t="shared" si="26"/>
        <v>4</v>
      </c>
      <c r="F285" s="7">
        <f t="shared" si="29"/>
        <v>2</v>
      </c>
      <c r="G285" s="7" t="str">
        <f t="shared" si="27"/>
        <v>Wed</v>
      </c>
      <c r="H285" s="2">
        <v>207</v>
      </c>
    </row>
    <row r="286" spans="2:8" x14ac:dyDescent="0.2">
      <c r="B286" s="6">
        <f t="shared" si="28"/>
        <v>41557</v>
      </c>
      <c r="C286" s="7">
        <f t="shared" si="24"/>
        <v>10</v>
      </c>
      <c r="D286" s="7" t="str">
        <f t="shared" si="25"/>
        <v>Oct</v>
      </c>
      <c r="E286" s="7">
        <f t="shared" si="26"/>
        <v>5</v>
      </c>
      <c r="F286" s="7">
        <f t="shared" si="29"/>
        <v>2</v>
      </c>
      <c r="G286" s="7" t="str">
        <f t="shared" si="27"/>
        <v>Thu</v>
      </c>
      <c r="H286" s="2">
        <v>200</v>
      </c>
    </row>
    <row r="287" spans="2:8" x14ac:dyDescent="0.2">
      <c r="B287" s="6">
        <f t="shared" si="28"/>
        <v>41558</v>
      </c>
      <c r="C287" s="7">
        <f t="shared" si="24"/>
        <v>11</v>
      </c>
      <c r="D287" s="7" t="str">
        <f t="shared" si="25"/>
        <v>Oct</v>
      </c>
      <c r="E287" s="7">
        <f t="shared" si="26"/>
        <v>6</v>
      </c>
      <c r="F287" s="7">
        <f t="shared" si="29"/>
        <v>2</v>
      </c>
      <c r="G287" s="7" t="str">
        <f t="shared" si="27"/>
        <v>Fri</v>
      </c>
      <c r="H287" s="2">
        <v>181</v>
      </c>
    </row>
    <row r="288" spans="2:8" x14ac:dyDescent="0.2">
      <c r="B288" s="6">
        <f t="shared" si="28"/>
        <v>41559</v>
      </c>
      <c r="C288" s="7">
        <f t="shared" si="24"/>
        <v>12</v>
      </c>
      <c r="D288" s="7" t="str">
        <f t="shared" si="25"/>
        <v>Oct</v>
      </c>
      <c r="E288" s="7">
        <f t="shared" si="26"/>
        <v>7</v>
      </c>
      <c r="F288" s="7">
        <f t="shared" si="29"/>
        <v>2</v>
      </c>
      <c r="G288" s="7" t="str">
        <f t="shared" si="27"/>
        <v>Sat</v>
      </c>
      <c r="H288" s="2">
        <v>234</v>
      </c>
    </row>
    <row r="289" spans="2:8" x14ac:dyDescent="0.2">
      <c r="B289" s="6">
        <f t="shared" si="28"/>
        <v>41560</v>
      </c>
      <c r="C289" s="7">
        <f t="shared" si="24"/>
        <v>13</v>
      </c>
      <c r="D289" s="7" t="str">
        <f t="shared" si="25"/>
        <v>Oct</v>
      </c>
      <c r="E289" s="7">
        <f t="shared" si="26"/>
        <v>1</v>
      </c>
      <c r="F289" s="7">
        <f t="shared" si="29"/>
        <v>3</v>
      </c>
      <c r="G289" s="7" t="str">
        <f t="shared" si="27"/>
        <v>Sun</v>
      </c>
      <c r="H289" s="2">
        <v>190</v>
      </c>
    </row>
    <row r="290" spans="2:8" x14ac:dyDescent="0.2">
      <c r="B290" s="6">
        <f t="shared" si="28"/>
        <v>41561</v>
      </c>
      <c r="C290" s="7">
        <f t="shared" si="24"/>
        <v>14</v>
      </c>
      <c r="D290" s="7" t="str">
        <f t="shared" si="25"/>
        <v>Oct</v>
      </c>
      <c r="E290" s="7">
        <f t="shared" si="26"/>
        <v>2</v>
      </c>
      <c r="F290" s="7">
        <f t="shared" si="29"/>
        <v>3</v>
      </c>
      <c r="G290" s="7" t="str">
        <f t="shared" si="27"/>
        <v>Mon</v>
      </c>
      <c r="H290" s="2">
        <v>233</v>
      </c>
    </row>
    <row r="291" spans="2:8" x14ac:dyDescent="0.2">
      <c r="B291" s="6">
        <f t="shared" si="28"/>
        <v>41562</v>
      </c>
      <c r="C291" s="7">
        <f t="shared" si="24"/>
        <v>15</v>
      </c>
      <c r="D291" s="7" t="str">
        <f t="shared" si="25"/>
        <v>Oct</v>
      </c>
      <c r="E291" s="7">
        <f t="shared" si="26"/>
        <v>3</v>
      </c>
      <c r="F291" s="7">
        <f t="shared" si="29"/>
        <v>3</v>
      </c>
      <c r="G291" s="7" t="str">
        <f t="shared" si="27"/>
        <v>Tue</v>
      </c>
      <c r="H291" s="2">
        <v>230</v>
      </c>
    </row>
    <row r="292" spans="2:8" x14ac:dyDescent="0.2">
      <c r="B292" s="6">
        <f t="shared" si="28"/>
        <v>41563</v>
      </c>
      <c r="C292" s="7">
        <f t="shared" si="24"/>
        <v>16</v>
      </c>
      <c r="D292" s="7" t="str">
        <f t="shared" si="25"/>
        <v>Oct</v>
      </c>
      <c r="E292" s="7">
        <f t="shared" si="26"/>
        <v>4</v>
      </c>
      <c r="F292" s="7">
        <f t="shared" si="29"/>
        <v>3</v>
      </c>
      <c r="G292" s="7" t="str">
        <f t="shared" si="27"/>
        <v>Wed</v>
      </c>
      <c r="H292" s="2">
        <v>212</v>
      </c>
    </row>
    <row r="293" spans="2:8" x14ac:dyDescent="0.2">
      <c r="B293" s="6">
        <f t="shared" si="28"/>
        <v>41564</v>
      </c>
      <c r="C293" s="7">
        <f t="shared" si="24"/>
        <v>17</v>
      </c>
      <c r="D293" s="7" t="str">
        <f t="shared" si="25"/>
        <v>Oct</v>
      </c>
      <c r="E293" s="7">
        <f t="shared" si="26"/>
        <v>5</v>
      </c>
      <c r="F293" s="7">
        <f t="shared" si="29"/>
        <v>3</v>
      </c>
      <c r="G293" s="7" t="str">
        <f t="shared" si="27"/>
        <v>Thu</v>
      </c>
      <c r="H293" s="2">
        <v>172</v>
      </c>
    </row>
    <row r="294" spans="2:8" x14ac:dyDescent="0.2">
      <c r="B294" s="6">
        <f t="shared" si="28"/>
        <v>41565</v>
      </c>
      <c r="C294" s="7">
        <f t="shared" si="24"/>
        <v>18</v>
      </c>
      <c r="D294" s="7" t="str">
        <f t="shared" si="25"/>
        <v>Oct</v>
      </c>
      <c r="E294" s="7">
        <f t="shared" si="26"/>
        <v>6</v>
      </c>
      <c r="F294" s="7">
        <f t="shared" si="29"/>
        <v>3</v>
      </c>
      <c r="G294" s="7" t="str">
        <f t="shared" si="27"/>
        <v>Fri</v>
      </c>
      <c r="H294" s="2">
        <v>234</v>
      </c>
    </row>
    <row r="295" spans="2:8" x14ac:dyDescent="0.2">
      <c r="B295" s="6">
        <f t="shared" si="28"/>
        <v>41566</v>
      </c>
      <c r="C295" s="7">
        <f t="shared" si="24"/>
        <v>19</v>
      </c>
      <c r="D295" s="7" t="str">
        <f t="shared" si="25"/>
        <v>Oct</v>
      </c>
      <c r="E295" s="7">
        <f t="shared" si="26"/>
        <v>7</v>
      </c>
      <c r="F295" s="7">
        <f t="shared" si="29"/>
        <v>3</v>
      </c>
      <c r="G295" s="7" t="str">
        <f t="shared" si="27"/>
        <v>Sat</v>
      </c>
      <c r="H295" s="2">
        <v>229</v>
      </c>
    </row>
    <row r="296" spans="2:8" x14ac:dyDescent="0.2">
      <c r="B296" s="6">
        <f t="shared" si="28"/>
        <v>41567</v>
      </c>
      <c r="C296" s="7">
        <f t="shared" si="24"/>
        <v>20</v>
      </c>
      <c r="D296" s="7" t="str">
        <f t="shared" si="25"/>
        <v>Oct</v>
      </c>
      <c r="E296" s="7">
        <f t="shared" si="26"/>
        <v>1</v>
      </c>
      <c r="F296" s="7">
        <f t="shared" si="29"/>
        <v>4</v>
      </c>
      <c r="G296" s="7" t="str">
        <f t="shared" si="27"/>
        <v>Sun</v>
      </c>
      <c r="H296" s="2">
        <v>206</v>
      </c>
    </row>
    <row r="297" spans="2:8" x14ac:dyDescent="0.2">
      <c r="B297" s="6">
        <f t="shared" si="28"/>
        <v>41568</v>
      </c>
      <c r="C297" s="7">
        <f t="shared" si="24"/>
        <v>21</v>
      </c>
      <c r="D297" s="7" t="str">
        <f t="shared" si="25"/>
        <v>Oct</v>
      </c>
      <c r="E297" s="7">
        <f t="shared" si="26"/>
        <v>2</v>
      </c>
      <c r="F297" s="7">
        <f t="shared" si="29"/>
        <v>4</v>
      </c>
      <c r="G297" s="7" t="str">
        <f t="shared" si="27"/>
        <v>Mon</v>
      </c>
      <c r="H297" s="2">
        <v>184</v>
      </c>
    </row>
    <row r="298" spans="2:8" x14ac:dyDescent="0.2">
      <c r="B298" s="6">
        <f t="shared" si="28"/>
        <v>41569</v>
      </c>
      <c r="C298" s="7">
        <f t="shared" si="24"/>
        <v>22</v>
      </c>
      <c r="D298" s="7" t="str">
        <f t="shared" si="25"/>
        <v>Oct</v>
      </c>
      <c r="E298" s="7">
        <f t="shared" si="26"/>
        <v>3</v>
      </c>
      <c r="F298" s="7">
        <f t="shared" si="29"/>
        <v>4</v>
      </c>
      <c r="G298" s="7" t="str">
        <f t="shared" si="27"/>
        <v>Tue</v>
      </c>
      <c r="H298" s="2">
        <v>198</v>
      </c>
    </row>
    <row r="299" spans="2:8" x14ac:dyDescent="0.2">
      <c r="B299" s="6">
        <f t="shared" si="28"/>
        <v>41570</v>
      </c>
      <c r="C299" s="7">
        <f t="shared" si="24"/>
        <v>23</v>
      </c>
      <c r="D299" s="7" t="str">
        <f t="shared" si="25"/>
        <v>Oct</v>
      </c>
      <c r="E299" s="7">
        <f t="shared" si="26"/>
        <v>4</v>
      </c>
      <c r="F299" s="7">
        <f t="shared" si="29"/>
        <v>4</v>
      </c>
      <c r="G299" s="7" t="str">
        <f t="shared" si="27"/>
        <v>Wed</v>
      </c>
      <c r="H299" s="2">
        <v>228</v>
      </c>
    </row>
    <row r="300" spans="2:8" x14ac:dyDescent="0.2">
      <c r="B300" s="6">
        <f t="shared" si="28"/>
        <v>41571</v>
      </c>
      <c r="C300" s="7">
        <f t="shared" si="24"/>
        <v>24</v>
      </c>
      <c r="D300" s="7" t="str">
        <f t="shared" si="25"/>
        <v>Oct</v>
      </c>
      <c r="E300" s="7">
        <f t="shared" si="26"/>
        <v>5</v>
      </c>
      <c r="F300" s="7">
        <f t="shared" si="29"/>
        <v>4</v>
      </c>
      <c r="G300" s="7" t="str">
        <f t="shared" si="27"/>
        <v>Thu</v>
      </c>
      <c r="H300" s="2">
        <v>221</v>
      </c>
    </row>
    <row r="301" spans="2:8" x14ac:dyDescent="0.2">
      <c r="B301" s="6">
        <f t="shared" si="28"/>
        <v>41572</v>
      </c>
      <c r="C301" s="7">
        <f t="shared" si="24"/>
        <v>25</v>
      </c>
      <c r="D301" s="7" t="str">
        <f t="shared" si="25"/>
        <v>Oct</v>
      </c>
      <c r="E301" s="7">
        <f t="shared" si="26"/>
        <v>6</v>
      </c>
      <c r="F301" s="7">
        <f t="shared" si="29"/>
        <v>4</v>
      </c>
      <c r="G301" s="7" t="str">
        <f t="shared" si="27"/>
        <v>Fri</v>
      </c>
      <c r="H301" s="2">
        <v>232</v>
      </c>
    </row>
    <row r="302" spans="2:8" x14ac:dyDescent="0.2">
      <c r="B302" s="6">
        <f t="shared" si="28"/>
        <v>41573</v>
      </c>
      <c r="C302" s="7">
        <f t="shared" si="24"/>
        <v>26</v>
      </c>
      <c r="D302" s="7" t="str">
        <f t="shared" si="25"/>
        <v>Oct</v>
      </c>
      <c r="E302" s="7">
        <f t="shared" si="26"/>
        <v>7</v>
      </c>
      <c r="F302" s="7">
        <f t="shared" si="29"/>
        <v>4</v>
      </c>
      <c r="G302" s="7" t="str">
        <f t="shared" si="27"/>
        <v>Sat</v>
      </c>
      <c r="H302" s="2">
        <v>223</v>
      </c>
    </row>
    <row r="303" spans="2:8" x14ac:dyDescent="0.2">
      <c r="B303" s="6">
        <f t="shared" si="28"/>
        <v>41574</v>
      </c>
      <c r="C303" s="7">
        <f t="shared" si="24"/>
        <v>27</v>
      </c>
      <c r="D303" s="7" t="str">
        <f t="shared" si="25"/>
        <v>Oct</v>
      </c>
      <c r="E303" s="7">
        <f t="shared" si="26"/>
        <v>1</v>
      </c>
      <c r="F303" s="7">
        <f t="shared" si="29"/>
        <v>5</v>
      </c>
      <c r="G303" s="7" t="str">
        <f t="shared" si="27"/>
        <v>Sun</v>
      </c>
      <c r="H303" s="2">
        <v>176</v>
      </c>
    </row>
    <row r="304" spans="2:8" x14ac:dyDescent="0.2">
      <c r="B304" s="6">
        <f t="shared" si="28"/>
        <v>41575</v>
      </c>
      <c r="C304" s="7">
        <f t="shared" si="24"/>
        <v>28</v>
      </c>
      <c r="D304" s="7" t="str">
        <f t="shared" si="25"/>
        <v>Oct</v>
      </c>
      <c r="E304" s="7">
        <f t="shared" si="26"/>
        <v>2</v>
      </c>
      <c r="F304" s="7">
        <f t="shared" si="29"/>
        <v>5</v>
      </c>
      <c r="G304" s="7" t="str">
        <f t="shared" si="27"/>
        <v>Mon</v>
      </c>
      <c r="H304" s="2">
        <v>167</v>
      </c>
    </row>
    <row r="305" spans="2:8" x14ac:dyDescent="0.2">
      <c r="B305" s="6">
        <f t="shared" si="28"/>
        <v>41576</v>
      </c>
      <c r="C305" s="7">
        <f t="shared" si="24"/>
        <v>29</v>
      </c>
      <c r="D305" s="7" t="str">
        <f t="shared" si="25"/>
        <v>Oct</v>
      </c>
      <c r="E305" s="7">
        <f t="shared" si="26"/>
        <v>3</v>
      </c>
      <c r="F305" s="7">
        <f t="shared" si="29"/>
        <v>5</v>
      </c>
      <c r="G305" s="7" t="str">
        <f t="shared" si="27"/>
        <v>Tue</v>
      </c>
      <c r="H305" s="2">
        <v>228</v>
      </c>
    </row>
    <row r="306" spans="2:8" x14ac:dyDescent="0.2">
      <c r="B306" s="6">
        <f t="shared" si="28"/>
        <v>41577</v>
      </c>
      <c r="C306" s="7">
        <f t="shared" si="24"/>
        <v>30</v>
      </c>
      <c r="D306" s="7" t="str">
        <f t="shared" si="25"/>
        <v>Oct</v>
      </c>
      <c r="E306" s="7">
        <f t="shared" si="26"/>
        <v>4</v>
      </c>
      <c r="F306" s="7">
        <f t="shared" si="29"/>
        <v>5</v>
      </c>
      <c r="G306" s="7" t="str">
        <f t="shared" si="27"/>
        <v>Wed</v>
      </c>
      <c r="H306" s="2">
        <v>173</v>
      </c>
    </row>
    <row r="307" spans="2:8" x14ac:dyDescent="0.2">
      <c r="B307" s="6">
        <f t="shared" si="28"/>
        <v>41578</v>
      </c>
      <c r="C307" s="7">
        <f t="shared" si="24"/>
        <v>31</v>
      </c>
      <c r="D307" s="7" t="str">
        <f t="shared" si="25"/>
        <v>Oct</v>
      </c>
      <c r="E307" s="7">
        <f t="shared" si="26"/>
        <v>5</v>
      </c>
      <c r="F307" s="7">
        <f t="shared" si="29"/>
        <v>5</v>
      </c>
      <c r="G307" s="7" t="str">
        <f t="shared" si="27"/>
        <v>Thu</v>
      </c>
      <c r="H307" s="2">
        <v>198</v>
      </c>
    </row>
    <row r="308" spans="2:8" x14ac:dyDescent="0.2">
      <c r="B308" s="6">
        <f t="shared" si="28"/>
        <v>41579</v>
      </c>
      <c r="C308" s="7">
        <f t="shared" si="24"/>
        <v>1</v>
      </c>
      <c r="D308" s="7" t="str">
        <f t="shared" si="25"/>
        <v>Nov</v>
      </c>
      <c r="E308" s="7">
        <f t="shared" si="26"/>
        <v>6</v>
      </c>
      <c r="F308" s="7">
        <f t="shared" si="29"/>
        <v>1</v>
      </c>
      <c r="G308" s="7" t="str">
        <f t="shared" si="27"/>
        <v>Fri</v>
      </c>
      <c r="H308" s="2">
        <v>203</v>
      </c>
    </row>
    <row r="309" spans="2:8" x14ac:dyDescent="0.2">
      <c r="B309" s="6">
        <f t="shared" si="28"/>
        <v>41580</v>
      </c>
      <c r="C309" s="7">
        <f t="shared" si="24"/>
        <v>2</v>
      </c>
      <c r="D309" s="7" t="str">
        <f t="shared" si="25"/>
        <v>Nov</v>
      </c>
      <c r="E309" s="7">
        <f t="shared" si="26"/>
        <v>7</v>
      </c>
      <c r="F309" s="7">
        <f t="shared" si="29"/>
        <v>1</v>
      </c>
      <c r="G309" s="7" t="str">
        <f t="shared" si="27"/>
        <v>Sat</v>
      </c>
      <c r="H309" s="2">
        <v>167</v>
      </c>
    </row>
    <row r="310" spans="2:8" x14ac:dyDescent="0.2">
      <c r="B310" s="6">
        <f t="shared" si="28"/>
        <v>41581</v>
      </c>
      <c r="C310" s="7">
        <f t="shared" si="24"/>
        <v>3</v>
      </c>
      <c r="D310" s="7" t="str">
        <f t="shared" si="25"/>
        <v>Nov</v>
      </c>
      <c r="E310" s="7">
        <f t="shared" si="26"/>
        <v>1</v>
      </c>
      <c r="F310" s="7">
        <f t="shared" si="29"/>
        <v>2</v>
      </c>
      <c r="G310" s="7" t="str">
        <f t="shared" si="27"/>
        <v>Sun</v>
      </c>
      <c r="H310" s="2">
        <v>200</v>
      </c>
    </row>
    <row r="311" spans="2:8" x14ac:dyDescent="0.2">
      <c r="B311" s="6">
        <f t="shared" si="28"/>
        <v>41582</v>
      </c>
      <c r="C311" s="7">
        <f t="shared" si="24"/>
        <v>4</v>
      </c>
      <c r="D311" s="7" t="str">
        <f t="shared" si="25"/>
        <v>Nov</v>
      </c>
      <c r="E311" s="7">
        <f t="shared" si="26"/>
        <v>2</v>
      </c>
      <c r="F311" s="7">
        <f t="shared" si="29"/>
        <v>2</v>
      </c>
      <c r="G311" s="7" t="str">
        <f t="shared" si="27"/>
        <v>Mon</v>
      </c>
      <c r="H311" s="2">
        <v>188</v>
      </c>
    </row>
    <row r="312" spans="2:8" x14ac:dyDescent="0.2">
      <c r="B312" s="6">
        <f t="shared" si="28"/>
        <v>41583</v>
      </c>
      <c r="C312" s="7">
        <f t="shared" si="24"/>
        <v>5</v>
      </c>
      <c r="D312" s="7" t="str">
        <f t="shared" si="25"/>
        <v>Nov</v>
      </c>
      <c r="E312" s="7">
        <f t="shared" si="26"/>
        <v>3</v>
      </c>
      <c r="F312" s="7">
        <f t="shared" si="29"/>
        <v>2</v>
      </c>
      <c r="G312" s="7" t="str">
        <f t="shared" si="27"/>
        <v>Tue</v>
      </c>
      <c r="H312" s="2">
        <v>179</v>
      </c>
    </row>
    <row r="313" spans="2:8" x14ac:dyDescent="0.2">
      <c r="B313" s="6">
        <f t="shared" si="28"/>
        <v>41584</v>
      </c>
      <c r="C313" s="7">
        <f t="shared" si="24"/>
        <v>6</v>
      </c>
      <c r="D313" s="7" t="str">
        <f t="shared" si="25"/>
        <v>Nov</v>
      </c>
      <c r="E313" s="7">
        <f t="shared" si="26"/>
        <v>4</v>
      </c>
      <c r="F313" s="7">
        <f t="shared" si="29"/>
        <v>2</v>
      </c>
      <c r="G313" s="7" t="str">
        <f t="shared" si="27"/>
        <v>Wed</v>
      </c>
      <c r="H313" s="2">
        <v>166</v>
      </c>
    </row>
    <row r="314" spans="2:8" x14ac:dyDescent="0.2">
      <c r="B314" s="6">
        <f t="shared" si="28"/>
        <v>41585</v>
      </c>
      <c r="C314" s="7">
        <f t="shared" si="24"/>
        <v>7</v>
      </c>
      <c r="D314" s="7" t="str">
        <f t="shared" si="25"/>
        <v>Nov</v>
      </c>
      <c r="E314" s="7">
        <f t="shared" si="26"/>
        <v>5</v>
      </c>
      <c r="F314" s="7">
        <f t="shared" si="29"/>
        <v>2</v>
      </c>
      <c r="G314" s="7" t="str">
        <f t="shared" si="27"/>
        <v>Thu</v>
      </c>
      <c r="H314" s="2">
        <v>214</v>
      </c>
    </row>
    <row r="315" spans="2:8" x14ac:dyDescent="0.2">
      <c r="B315" s="6">
        <f t="shared" si="28"/>
        <v>41586</v>
      </c>
      <c r="C315" s="7">
        <f t="shared" si="24"/>
        <v>8</v>
      </c>
      <c r="D315" s="7" t="str">
        <f t="shared" si="25"/>
        <v>Nov</v>
      </c>
      <c r="E315" s="7">
        <f t="shared" si="26"/>
        <v>6</v>
      </c>
      <c r="F315" s="7">
        <f t="shared" si="29"/>
        <v>2</v>
      </c>
      <c r="G315" s="7" t="str">
        <f t="shared" si="27"/>
        <v>Fri</v>
      </c>
      <c r="H315" s="2">
        <v>229</v>
      </c>
    </row>
    <row r="316" spans="2:8" x14ac:dyDescent="0.2">
      <c r="B316" s="6">
        <f t="shared" si="28"/>
        <v>41587</v>
      </c>
      <c r="C316" s="7">
        <f t="shared" si="24"/>
        <v>9</v>
      </c>
      <c r="D316" s="7" t="str">
        <f t="shared" si="25"/>
        <v>Nov</v>
      </c>
      <c r="E316" s="7">
        <f t="shared" si="26"/>
        <v>7</v>
      </c>
      <c r="F316" s="7">
        <f t="shared" si="29"/>
        <v>2</v>
      </c>
      <c r="G316" s="7" t="str">
        <f t="shared" si="27"/>
        <v>Sat</v>
      </c>
      <c r="H316" s="2">
        <v>180</v>
      </c>
    </row>
    <row r="317" spans="2:8" x14ac:dyDescent="0.2">
      <c r="B317" s="6">
        <f t="shared" si="28"/>
        <v>41588</v>
      </c>
      <c r="C317" s="7">
        <f t="shared" si="24"/>
        <v>10</v>
      </c>
      <c r="D317" s="7" t="str">
        <f t="shared" si="25"/>
        <v>Nov</v>
      </c>
      <c r="E317" s="7">
        <f t="shared" si="26"/>
        <v>1</v>
      </c>
      <c r="F317" s="7">
        <f t="shared" si="29"/>
        <v>3</v>
      </c>
      <c r="G317" s="7" t="str">
        <f t="shared" si="27"/>
        <v>Sun</v>
      </c>
      <c r="H317" s="2">
        <v>222</v>
      </c>
    </row>
    <row r="318" spans="2:8" x14ac:dyDescent="0.2">
      <c r="B318" s="6">
        <f t="shared" si="28"/>
        <v>41589</v>
      </c>
      <c r="C318" s="7">
        <f t="shared" si="24"/>
        <v>11</v>
      </c>
      <c r="D318" s="7" t="str">
        <f t="shared" si="25"/>
        <v>Nov</v>
      </c>
      <c r="E318" s="7">
        <f t="shared" si="26"/>
        <v>2</v>
      </c>
      <c r="F318" s="7">
        <f t="shared" si="29"/>
        <v>3</v>
      </c>
      <c r="G318" s="7" t="str">
        <f t="shared" si="27"/>
        <v>Mon</v>
      </c>
      <c r="H318" s="2">
        <v>215</v>
      </c>
    </row>
    <row r="319" spans="2:8" x14ac:dyDescent="0.2">
      <c r="B319" s="6">
        <f t="shared" si="28"/>
        <v>41590</v>
      </c>
      <c r="C319" s="7">
        <f t="shared" si="24"/>
        <v>12</v>
      </c>
      <c r="D319" s="7" t="str">
        <f t="shared" si="25"/>
        <v>Nov</v>
      </c>
      <c r="E319" s="7">
        <f t="shared" si="26"/>
        <v>3</v>
      </c>
      <c r="F319" s="7">
        <f t="shared" si="29"/>
        <v>3</v>
      </c>
      <c r="G319" s="7" t="str">
        <f t="shared" si="27"/>
        <v>Tue</v>
      </c>
      <c r="H319" s="2">
        <v>191</v>
      </c>
    </row>
    <row r="320" spans="2:8" x14ac:dyDescent="0.2">
      <c r="B320" s="6">
        <f t="shared" si="28"/>
        <v>41591</v>
      </c>
      <c r="C320" s="7">
        <f t="shared" si="24"/>
        <v>13</v>
      </c>
      <c r="D320" s="7" t="str">
        <f t="shared" si="25"/>
        <v>Nov</v>
      </c>
      <c r="E320" s="7">
        <f t="shared" si="26"/>
        <v>4</v>
      </c>
      <c r="F320" s="7">
        <f t="shared" si="29"/>
        <v>3</v>
      </c>
      <c r="G320" s="7" t="str">
        <f t="shared" si="27"/>
        <v>Wed</v>
      </c>
      <c r="H320" s="2">
        <v>182</v>
      </c>
    </row>
    <row r="321" spans="2:8" x14ac:dyDescent="0.2">
      <c r="B321" s="6">
        <f t="shared" si="28"/>
        <v>41592</v>
      </c>
      <c r="C321" s="7">
        <f t="shared" si="24"/>
        <v>14</v>
      </c>
      <c r="D321" s="7" t="str">
        <f t="shared" si="25"/>
        <v>Nov</v>
      </c>
      <c r="E321" s="7">
        <f t="shared" si="26"/>
        <v>5</v>
      </c>
      <c r="F321" s="7">
        <f t="shared" si="29"/>
        <v>3</v>
      </c>
      <c r="G321" s="7" t="str">
        <f t="shared" si="27"/>
        <v>Thu</v>
      </c>
      <c r="H321" s="2">
        <v>177</v>
      </c>
    </row>
    <row r="322" spans="2:8" x14ac:dyDescent="0.2">
      <c r="B322" s="6">
        <f t="shared" si="28"/>
        <v>41593</v>
      </c>
      <c r="C322" s="7">
        <f t="shared" si="24"/>
        <v>15</v>
      </c>
      <c r="D322" s="7" t="str">
        <f t="shared" si="25"/>
        <v>Nov</v>
      </c>
      <c r="E322" s="7">
        <f t="shared" si="26"/>
        <v>6</v>
      </c>
      <c r="F322" s="7">
        <f t="shared" si="29"/>
        <v>3</v>
      </c>
      <c r="G322" s="7" t="str">
        <f t="shared" si="27"/>
        <v>Fri</v>
      </c>
      <c r="H322" s="2">
        <v>234</v>
      </c>
    </row>
    <row r="323" spans="2:8" x14ac:dyDescent="0.2">
      <c r="B323" s="6">
        <f t="shared" si="28"/>
        <v>41594</v>
      </c>
      <c r="C323" s="7">
        <f t="shared" si="24"/>
        <v>16</v>
      </c>
      <c r="D323" s="7" t="str">
        <f t="shared" si="25"/>
        <v>Nov</v>
      </c>
      <c r="E323" s="7">
        <f t="shared" si="26"/>
        <v>7</v>
      </c>
      <c r="F323" s="7">
        <f t="shared" si="29"/>
        <v>3</v>
      </c>
      <c r="G323" s="7" t="str">
        <f t="shared" si="27"/>
        <v>Sat</v>
      </c>
      <c r="H323" s="2">
        <v>167</v>
      </c>
    </row>
    <row r="324" spans="2:8" x14ac:dyDescent="0.2">
      <c r="B324" s="6">
        <f t="shared" si="28"/>
        <v>41595</v>
      </c>
      <c r="C324" s="7">
        <f t="shared" si="24"/>
        <v>17</v>
      </c>
      <c r="D324" s="7" t="str">
        <f t="shared" si="25"/>
        <v>Nov</v>
      </c>
      <c r="E324" s="7">
        <f t="shared" si="26"/>
        <v>1</v>
      </c>
      <c r="F324" s="7">
        <f t="shared" si="29"/>
        <v>4</v>
      </c>
      <c r="G324" s="7" t="str">
        <f t="shared" si="27"/>
        <v>Sun</v>
      </c>
      <c r="H324" s="2">
        <v>215</v>
      </c>
    </row>
    <row r="325" spans="2:8" x14ac:dyDescent="0.2">
      <c r="B325" s="6">
        <f t="shared" si="28"/>
        <v>41596</v>
      </c>
      <c r="C325" s="7">
        <f t="shared" ref="C325:C357" si="30">DAY(B325)</f>
        <v>18</v>
      </c>
      <c r="D325" s="7" t="str">
        <f t="shared" ref="D325:D368" si="31">TEXT(B325,"mmm")</f>
        <v>Nov</v>
      </c>
      <c r="E325" s="7">
        <f t="shared" ref="E325:E357" si="32">WEEKDAY(B325)</f>
        <v>2</v>
      </c>
      <c r="F325" s="7">
        <f t="shared" si="29"/>
        <v>4</v>
      </c>
      <c r="G325" s="7" t="str">
        <f t="shared" ref="G325:G357" si="33">TEXT(B325,"ddd")</f>
        <v>Mon</v>
      </c>
      <c r="H325" s="2">
        <v>167</v>
      </c>
    </row>
    <row r="326" spans="2:8" x14ac:dyDescent="0.2">
      <c r="B326" s="6">
        <f t="shared" ref="B326:B357" si="34">B325+1</f>
        <v>41597</v>
      </c>
      <c r="C326" s="7">
        <f t="shared" si="30"/>
        <v>19</v>
      </c>
      <c r="D326" s="7" t="str">
        <f t="shared" si="31"/>
        <v>Nov</v>
      </c>
      <c r="E326" s="7">
        <f t="shared" si="32"/>
        <v>3</v>
      </c>
      <c r="F326" s="7">
        <f t="shared" ref="F326:F368" si="35">IF(D326=D325,IF(E326=1,F325+1,F325),1)</f>
        <v>4</v>
      </c>
      <c r="G326" s="7" t="str">
        <f t="shared" si="33"/>
        <v>Tue</v>
      </c>
      <c r="H326" s="2">
        <v>219</v>
      </c>
    </row>
    <row r="327" spans="2:8" x14ac:dyDescent="0.2">
      <c r="B327" s="6">
        <f t="shared" si="34"/>
        <v>41598</v>
      </c>
      <c r="C327" s="7">
        <f t="shared" si="30"/>
        <v>20</v>
      </c>
      <c r="D327" s="7" t="str">
        <f t="shared" si="31"/>
        <v>Nov</v>
      </c>
      <c r="E327" s="7">
        <f t="shared" si="32"/>
        <v>4</v>
      </c>
      <c r="F327" s="7">
        <f t="shared" si="35"/>
        <v>4</v>
      </c>
      <c r="G327" s="7" t="str">
        <f t="shared" si="33"/>
        <v>Wed</v>
      </c>
      <c r="H327" s="2">
        <v>167</v>
      </c>
    </row>
    <row r="328" spans="2:8" x14ac:dyDescent="0.2">
      <c r="B328" s="6">
        <f t="shared" si="34"/>
        <v>41599</v>
      </c>
      <c r="C328" s="7">
        <f t="shared" si="30"/>
        <v>21</v>
      </c>
      <c r="D328" s="7" t="str">
        <f t="shared" si="31"/>
        <v>Nov</v>
      </c>
      <c r="E328" s="7">
        <f t="shared" si="32"/>
        <v>5</v>
      </c>
      <c r="F328" s="7">
        <f t="shared" si="35"/>
        <v>4</v>
      </c>
      <c r="G328" s="7" t="str">
        <f t="shared" si="33"/>
        <v>Thu</v>
      </c>
      <c r="H328" s="2">
        <v>169</v>
      </c>
    </row>
    <row r="329" spans="2:8" x14ac:dyDescent="0.2">
      <c r="B329" s="6">
        <f t="shared" si="34"/>
        <v>41600</v>
      </c>
      <c r="C329" s="7">
        <f t="shared" si="30"/>
        <v>22</v>
      </c>
      <c r="D329" s="7" t="str">
        <f t="shared" si="31"/>
        <v>Nov</v>
      </c>
      <c r="E329" s="7">
        <f t="shared" si="32"/>
        <v>6</v>
      </c>
      <c r="F329" s="7">
        <f t="shared" si="35"/>
        <v>4</v>
      </c>
      <c r="G329" s="7" t="str">
        <f t="shared" si="33"/>
        <v>Fri</v>
      </c>
      <c r="H329" s="2">
        <v>190</v>
      </c>
    </row>
    <row r="330" spans="2:8" x14ac:dyDescent="0.2">
      <c r="B330" s="6">
        <f t="shared" si="34"/>
        <v>41601</v>
      </c>
      <c r="C330" s="7">
        <f t="shared" si="30"/>
        <v>23</v>
      </c>
      <c r="D330" s="7" t="str">
        <f t="shared" si="31"/>
        <v>Nov</v>
      </c>
      <c r="E330" s="7">
        <f t="shared" si="32"/>
        <v>7</v>
      </c>
      <c r="F330" s="7">
        <f t="shared" si="35"/>
        <v>4</v>
      </c>
      <c r="G330" s="7" t="str">
        <f t="shared" si="33"/>
        <v>Sat</v>
      </c>
      <c r="H330" s="2">
        <v>188</v>
      </c>
    </row>
    <row r="331" spans="2:8" x14ac:dyDescent="0.2">
      <c r="B331" s="6">
        <f t="shared" si="34"/>
        <v>41602</v>
      </c>
      <c r="C331" s="7">
        <f t="shared" si="30"/>
        <v>24</v>
      </c>
      <c r="D331" s="7" t="str">
        <f t="shared" si="31"/>
        <v>Nov</v>
      </c>
      <c r="E331" s="7">
        <f t="shared" si="32"/>
        <v>1</v>
      </c>
      <c r="F331" s="7">
        <f t="shared" si="35"/>
        <v>5</v>
      </c>
      <c r="G331" s="7" t="str">
        <f t="shared" si="33"/>
        <v>Sun</v>
      </c>
      <c r="H331" s="2">
        <v>221</v>
      </c>
    </row>
    <row r="332" spans="2:8" x14ac:dyDescent="0.2">
      <c r="B332" s="6">
        <f t="shared" si="34"/>
        <v>41603</v>
      </c>
      <c r="C332" s="7">
        <f t="shared" si="30"/>
        <v>25</v>
      </c>
      <c r="D332" s="7" t="str">
        <f t="shared" si="31"/>
        <v>Nov</v>
      </c>
      <c r="E332" s="7">
        <f t="shared" si="32"/>
        <v>2</v>
      </c>
      <c r="F332" s="7">
        <f t="shared" si="35"/>
        <v>5</v>
      </c>
      <c r="G332" s="7" t="str">
        <f t="shared" si="33"/>
        <v>Mon</v>
      </c>
      <c r="H332" s="2">
        <v>226</v>
      </c>
    </row>
    <row r="333" spans="2:8" x14ac:dyDescent="0.2">
      <c r="B333" s="6">
        <f t="shared" si="34"/>
        <v>41604</v>
      </c>
      <c r="C333" s="7">
        <f t="shared" si="30"/>
        <v>26</v>
      </c>
      <c r="D333" s="7" t="str">
        <f t="shared" si="31"/>
        <v>Nov</v>
      </c>
      <c r="E333" s="7">
        <f t="shared" si="32"/>
        <v>3</v>
      </c>
      <c r="F333" s="7">
        <f t="shared" si="35"/>
        <v>5</v>
      </c>
      <c r="G333" s="7" t="str">
        <f t="shared" si="33"/>
        <v>Tue</v>
      </c>
      <c r="H333" s="2">
        <v>184</v>
      </c>
    </row>
    <row r="334" spans="2:8" x14ac:dyDescent="0.2">
      <c r="B334" s="6">
        <f t="shared" si="34"/>
        <v>41605</v>
      </c>
      <c r="C334" s="7">
        <f t="shared" si="30"/>
        <v>27</v>
      </c>
      <c r="D334" s="7" t="str">
        <f t="shared" si="31"/>
        <v>Nov</v>
      </c>
      <c r="E334" s="7">
        <f t="shared" si="32"/>
        <v>4</v>
      </c>
      <c r="F334" s="7">
        <f t="shared" si="35"/>
        <v>5</v>
      </c>
      <c r="G334" s="7" t="str">
        <f t="shared" si="33"/>
        <v>Wed</v>
      </c>
      <c r="H334" s="2">
        <v>230</v>
      </c>
    </row>
    <row r="335" spans="2:8" x14ac:dyDescent="0.2">
      <c r="B335" s="6">
        <f t="shared" si="34"/>
        <v>41606</v>
      </c>
      <c r="C335" s="7">
        <f t="shared" si="30"/>
        <v>28</v>
      </c>
      <c r="D335" s="7" t="str">
        <f t="shared" si="31"/>
        <v>Nov</v>
      </c>
      <c r="E335" s="7">
        <f t="shared" si="32"/>
        <v>5</v>
      </c>
      <c r="F335" s="7">
        <f t="shared" si="35"/>
        <v>5</v>
      </c>
      <c r="G335" s="7" t="str">
        <f t="shared" si="33"/>
        <v>Thu</v>
      </c>
      <c r="H335" s="2">
        <v>206</v>
      </c>
    </row>
    <row r="336" spans="2:8" x14ac:dyDescent="0.2">
      <c r="B336" s="6">
        <f t="shared" si="34"/>
        <v>41607</v>
      </c>
      <c r="C336" s="7">
        <f t="shared" si="30"/>
        <v>29</v>
      </c>
      <c r="D336" s="7" t="str">
        <f t="shared" si="31"/>
        <v>Nov</v>
      </c>
      <c r="E336" s="7">
        <f t="shared" si="32"/>
        <v>6</v>
      </c>
      <c r="F336" s="7">
        <f t="shared" si="35"/>
        <v>5</v>
      </c>
      <c r="G336" s="7" t="str">
        <f t="shared" si="33"/>
        <v>Fri</v>
      </c>
      <c r="H336" s="2">
        <v>187</v>
      </c>
    </row>
    <row r="337" spans="2:8" x14ac:dyDescent="0.2">
      <c r="B337" s="6">
        <f t="shared" si="34"/>
        <v>41608</v>
      </c>
      <c r="C337" s="7">
        <f t="shared" si="30"/>
        <v>30</v>
      </c>
      <c r="D337" s="7" t="str">
        <f t="shared" si="31"/>
        <v>Nov</v>
      </c>
      <c r="E337" s="7">
        <f t="shared" si="32"/>
        <v>7</v>
      </c>
      <c r="F337" s="7">
        <f t="shared" si="35"/>
        <v>5</v>
      </c>
      <c r="G337" s="7" t="str">
        <f t="shared" si="33"/>
        <v>Sat</v>
      </c>
      <c r="H337" s="2">
        <v>219</v>
      </c>
    </row>
    <row r="338" spans="2:8" x14ac:dyDescent="0.2">
      <c r="B338" s="6">
        <f t="shared" si="34"/>
        <v>41609</v>
      </c>
      <c r="C338" s="7">
        <f t="shared" si="30"/>
        <v>1</v>
      </c>
      <c r="D338" s="7" t="str">
        <f t="shared" si="31"/>
        <v>Dec</v>
      </c>
      <c r="E338" s="7">
        <f t="shared" si="32"/>
        <v>1</v>
      </c>
      <c r="F338" s="7">
        <f t="shared" si="35"/>
        <v>1</v>
      </c>
      <c r="G338" s="7" t="str">
        <f t="shared" si="33"/>
        <v>Sun</v>
      </c>
      <c r="H338" s="2">
        <v>234</v>
      </c>
    </row>
    <row r="339" spans="2:8" x14ac:dyDescent="0.2">
      <c r="B339" s="6">
        <f t="shared" si="34"/>
        <v>41610</v>
      </c>
      <c r="C339" s="7">
        <f t="shared" si="30"/>
        <v>2</v>
      </c>
      <c r="D339" s="7" t="str">
        <f t="shared" si="31"/>
        <v>Dec</v>
      </c>
      <c r="E339" s="7">
        <f t="shared" si="32"/>
        <v>2</v>
      </c>
      <c r="F339" s="7">
        <f t="shared" si="35"/>
        <v>1</v>
      </c>
      <c r="G339" s="7" t="str">
        <f t="shared" si="33"/>
        <v>Mon</v>
      </c>
      <c r="H339" s="2">
        <v>184</v>
      </c>
    </row>
    <row r="340" spans="2:8" x14ac:dyDescent="0.2">
      <c r="B340" s="6">
        <f t="shared" si="34"/>
        <v>41611</v>
      </c>
      <c r="C340" s="7">
        <f t="shared" si="30"/>
        <v>3</v>
      </c>
      <c r="D340" s="7" t="str">
        <f t="shared" si="31"/>
        <v>Dec</v>
      </c>
      <c r="E340" s="7">
        <f t="shared" si="32"/>
        <v>3</v>
      </c>
      <c r="F340" s="7">
        <f t="shared" si="35"/>
        <v>1</v>
      </c>
      <c r="G340" s="7" t="str">
        <f t="shared" si="33"/>
        <v>Tue</v>
      </c>
      <c r="H340" s="2">
        <v>207</v>
      </c>
    </row>
    <row r="341" spans="2:8" x14ac:dyDescent="0.2">
      <c r="B341" s="6">
        <f t="shared" si="34"/>
        <v>41612</v>
      </c>
      <c r="C341" s="7">
        <f t="shared" si="30"/>
        <v>4</v>
      </c>
      <c r="D341" s="7" t="str">
        <f t="shared" si="31"/>
        <v>Dec</v>
      </c>
      <c r="E341" s="7">
        <f t="shared" si="32"/>
        <v>4</v>
      </c>
      <c r="F341" s="7">
        <f t="shared" si="35"/>
        <v>1</v>
      </c>
      <c r="G341" s="7" t="str">
        <f t="shared" si="33"/>
        <v>Wed</v>
      </c>
      <c r="H341" s="2">
        <v>176</v>
      </c>
    </row>
    <row r="342" spans="2:8" x14ac:dyDescent="0.2">
      <c r="B342" s="6">
        <f t="shared" si="34"/>
        <v>41613</v>
      </c>
      <c r="C342" s="7">
        <f t="shared" si="30"/>
        <v>5</v>
      </c>
      <c r="D342" s="7" t="str">
        <f t="shared" si="31"/>
        <v>Dec</v>
      </c>
      <c r="E342" s="7">
        <f t="shared" si="32"/>
        <v>5</v>
      </c>
      <c r="F342" s="7">
        <f t="shared" si="35"/>
        <v>1</v>
      </c>
      <c r="G342" s="7" t="str">
        <f t="shared" si="33"/>
        <v>Thu</v>
      </c>
      <c r="H342" s="2">
        <v>223</v>
      </c>
    </row>
    <row r="343" spans="2:8" x14ac:dyDescent="0.2">
      <c r="B343" s="6">
        <f t="shared" si="34"/>
        <v>41614</v>
      </c>
      <c r="C343" s="7">
        <f t="shared" si="30"/>
        <v>6</v>
      </c>
      <c r="D343" s="7" t="str">
        <f t="shared" si="31"/>
        <v>Dec</v>
      </c>
      <c r="E343" s="7">
        <f t="shared" si="32"/>
        <v>6</v>
      </c>
      <c r="F343" s="7">
        <f t="shared" si="35"/>
        <v>1</v>
      </c>
      <c r="G343" s="7" t="str">
        <f t="shared" si="33"/>
        <v>Fri</v>
      </c>
      <c r="H343" s="2">
        <v>224</v>
      </c>
    </row>
    <row r="344" spans="2:8" x14ac:dyDescent="0.2">
      <c r="B344" s="6">
        <f t="shared" si="34"/>
        <v>41615</v>
      </c>
      <c r="C344" s="7">
        <f t="shared" si="30"/>
        <v>7</v>
      </c>
      <c r="D344" s="7" t="str">
        <f t="shared" si="31"/>
        <v>Dec</v>
      </c>
      <c r="E344" s="7">
        <f t="shared" si="32"/>
        <v>7</v>
      </c>
      <c r="F344" s="7">
        <f t="shared" si="35"/>
        <v>1</v>
      </c>
      <c r="G344" s="7" t="str">
        <f t="shared" si="33"/>
        <v>Sat</v>
      </c>
      <c r="H344" s="2">
        <v>215</v>
      </c>
    </row>
    <row r="345" spans="2:8" x14ac:dyDescent="0.2">
      <c r="B345" s="6">
        <f t="shared" si="34"/>
        <v>41616</v>
      </c>
      <c r="C345" s="7">
        <f t="shared" si="30"/>
        <v>8</v>
      </c>
      <c r="D345" s="7" t="str">
        <f t="shared" si="31"/>
        <v>Dec</v>
      </c>
      <c r="E345" s="7">
        <f t="shared" si="32"/>
        <v>1</v>
      </c>
      <c r="F345" s="7">
        <f t="shared" si="35"/>
        <v>2</v>
      </c>
      <c r="G345" s="7" t="str">
        <f t="shared" si="33"/>
        <v>Sun</v>
      </c>
      <c r="H345" s="2">
        <v>227</v>
      </c>
    </row>
    <row r="346" spans="2:8" x14ac:dyDescent="0.2">
      <c r="B346" s="6">
        <f t="shared" si="34"/>
        <v>41617</v>
      </c>
      <c r="C346" s="7">
        <f t="shared" si="30"/>
        <v>9</v>
      </c>
      <c r="D346" s="7" t="str">
        <f t="shared" si="31"/>
        <v>Dec</v>
      </c>
      <c r="E346" s="7">
        <f t="shared" si="32"/>
        <v>2</v>
      </c>
      <c r="F346" s="7">
        <f t="shared" si="35"/>
        <v>2</v>
      </c>
      <c r="G346" s="7" t="str">
        <f t="shared" si="33"/>
        <v>Mon</v>
      </c>
      <c r="H346" s="2">
        <v>188</v>
      </c>
    </row>
    <row r="347" spans="2:8" x14ac:dyDescent="0.2">
      <c r="B347" s="6">
        <f t="shared" si="34"/>
        <v>41618</v>
      </c>
      <c r="C347" s="7">
        <f t="shared" si="30"/>
        <v>10</v>
      </c>
      <c r="D347" s="7" t="str">
        <f t="shared" si="31"/>
        <v>Dec</v>
      </c>
      <c r="E347" s="7">
        <f t="shared" si="32"/>
        <v>3</v>
      </c>
      <c r="F347" s="7">
        <f t="shared" si="35"/>
        <v>2</v>
      </c>
      <c r="G347" s="7" t="str">
        <f t="shared" si="33"/>
        <v>Tue</v>
      </c>
      <c r="H347" s="2">
        <v>192</v>
      </c>
    </row>
    <row r="348" spans="2:8" x14ac:dyDescent="0.2">
      <c r="B348" s="6">
        <f t="shared" si="34"/>
        <v>41619</v>
      </c>
      <c r="C348" s="7">
        <f t="shared" si="30"/>
        <v>11</v>
      </c>
      <c r="D348" s="7" t="str">
        <f t="shared" si="31"/>
        <v>Dec</v>
      </c>
      <c r="E348" s="7">
        <f t="shared" si="32"/>
        <v>4</v>
      </c>
      <c r="F348" s="7">
        <f t="shared" si="35"/>
        <v>2</v>
      </c>
      <c r="G348" s="7" t="str">
        <f t="shared" si="33"/>
        <v>Wed</v>
      </c>
      <c r="H348" s="2">
        <v>225</v>
      </c>
    </row>
    <row r="349" spans="2:8" x14ac:dyDescent="0.2">
      <c r="B349" s="6">
        <f t="shared" si="34"/>
        <v>41620</v>
      </c>
      <c r="C349" s="7">
        <f t="shared" si="30"/>
        <v>12</v>
      </c>
      <c r="D349" s="7" t="str">
        <f t="shared" si="31"/>
        <v>Dec</v>
      </c>
      <c r="E349" s="7">
        <f t="shared" si="32"/>
        <v>5</v>
      </c>
      <c r="F349" s="7">
        <f t="shared" si="35"/>
        <v>2</v>
      </c>
      <c r="G349" s="7" t="str">
        <f t="shared" si="33"/>
        <v>Thu</v>
      </c>
      <c r="H349" s="2">
        <v>221</v>
      </c>
    </row>
    <row r="350" spans="2:8" x14ac:dyDescent="0.2">
      <c r="B350" s="6">
        <f t="shared" si="34"/>
        <v>41621</v>
      </c>
      <c r="C350" s="7">
        <f t="shared" si="30"/>
        <v>13</v>
      </c>
      <c r="D350" s="7" t="str">
        <f t="shared" si="31"/>
        <v>Dec</v>
      </c>
      <c r="E350" s="7">
        <f t="shared" si="32"/>
        <v>6</v>
      </c>
      <c r="F350" s="7">
        <f t="shared" si="35"/>
        <v>2</v>
      </c>
      <c r="G350" s="7" t="str">
        <f t="shared" si="33"/>
        <v>Fri</v>
      </c>
      <c r="H350" s="2">
        <v>194</v>
      </c>
    </row>
    <row r="351" spans="2:8" x14ac:dyDescent="0.2">
      <c r="B351" s="6">
        <f t="shared" si="34"/>
        <v>41622</v>
      </c>
      <c r="C351" s="7">
        <f t="shared" si="30"/>
        <v>14</v>
      </c>
      <c r="D351" s="7" t="str">
        <f t="shared" si="31"/>
        <v>Dec</v>
      </c>
      <c r="E351" s="7">
        <f t="shared" si="32"/>
        <v>7</v>
      </c>
      <c r="F351" s="7">
        <f t="shared" si="35"/>
        <v>2</v>
      </c>
      <c r="G351" s="7" t="str">
        <f t="shared" si="33"/>
        <v>Sat</v>
      </c>
      <c r="H351" s="2">
        <v>176</v>
      </c>
    </row>
    <row r="352" spans="2:8" x14ac:dyDescent="0.2">
      <c r="B352" s="6">
        <f t="shared" si="34"/>
        <v>41623</v>
      </c>
      <c r="C352" s="7">
        <f t="shared" si="30"/>
        <v>15</v>
      </c>
      <c r="D352" s="7" t="str">
        <f t="shared" si="31"/>
        <v>Dec</v>
      </c>
      <c r="E352" s="7">
        <f t="shared" si="32"/>
        <v>1</v>
      </c>
      <c r="F352" s="7">
        <f t="shared" si="35"/>
        <v>3</v>
      </c>
      <c r="G352" s="7" t="str">
        <f t="shared" si="33"/>
        <v>Sun</v>
      </c>
      <c r="H352" s="2">
        <v>192</v>
      </c>
    </row>
    <row r="353" spans="2:8" x14ac:dyDescent="0.2">
      <c r="B353" s="6">
        <f t="shared" si="34"/>
        <v>41624</v>
      </c>
      <c r="C353" s="7">
        <f t="shared" si="30"/>
        <v>16</v>
      </c>
      <c r="D353" s="7" t="str">
        <f t="shared" si="31"/>
        <v>Dec</v>
      </c>
      <c r="E353" s="7">
        <f t="shared" si="32"/>
        <v>2</v>
      </c>
      <c r="F353" s="7">
        <f t="shared" si="35"/>
        <v>3</v>
      </c>
      <c r="G353" s="7" t="str">
        <f t="shared" si="33"/>
        <v>Mon</v>
      </c>
      <c r="H353" s="2">
        <v>215</v>
      </c>
    </row>
    <row r="354" spans="2:8" x14ac:dyDescent="0.2">
      <c r="B354" s="6">
        <f t="shared" si="34"/>
        <v>41625</v>
      </c>
      <c r="C354" s="7">
        <f t="shared" si="30"/>
        <v>17</v>
      </c>
      <c r="D354" s="7" t="str">
        <f t="shared" si="31"/>
        <v>Dec</v>
      </c>
      <c r="E354" s="7">
        <f t="shared" si="32"/>
        <v>3</v>
      </c>
      <c r="F354" s="7">
        <f t="shared" si="35"/>
        <v>3</v>
      </c>
      <c r="G354" s="7" t="str">
        <f t="shared" si="33"/>
        <v>Tue</v>
      </c>
      <c r="H354" s="2">
        <v>175</v>
      </c>
    </row>
    <row r="355" spans="2:8" x14ac:dyDescent="0.2">
      <c r="B355" s="6">
        <f t="shared" si="34"/>
        <v>41626</v>
      </c>
      <c r="C355" s="7">
        <f t="shared" si="30"/>
        <v>18</v>
      </c>
      <c r="D355" s="7" t="str">
        <f t="shared" si="31"/>
        <v>Dec</v>
      </c>
      <c r="E355" s="7">
        <f t="shared" si="32"/>
        <v>4</v>
      </c>
      <c r="F355" s="7">
        <f t="shared" si="35"/>
        <v>3</v>
      </c>
      <c r="G355" s="7" t="str">
        <f t="shared" si="33"/>
        <v>Wed</v>
      </c>
      <c r="H355" s="2">
        <v>206</v>
      </c>
    </row>
    <row r="356" spans="2:8" x14ac:dyDescent="0.2">
      <c r="B356" s="6">
        <f t="shared" si="34"/>
        <v>41627</v>
      </c>
      <c r="C356" s="7">
        <f t="shared" si="30"/>
        <v>19</v>
      </c>
      <c r="D356" s="7" t="str">
        <f t="shared" si="31"/>
        <v>Dec</v>
      </c>
      <c r="E356" s="7">
        <f t="shared" si="32"/>
        <v>5</v>
      </c>
      <c r="F356" s="7">
        <f t="shared" si="35"/>
        <v>3</v>
      </c>
      <c r="G356" s="7" t="str">
        <f t="shared" si="33"/>
        <v>Thu</v>
      </c>
      <c r="H356" s="2">
        <v>230</v>
      </c>
    </row>
    <row r="357" spans="2:8" x14ac:dyDescent="0.2">
      <c r="B357" s="6">
        <f t="shared" si="34"/>
        <v>41628</v>
      </c>
      <c r="C357" s="7">
        <f t="shared" si="30"/>
        <v>20</v>
      </c>
      <c r="D357" s="7" t="str">
        <f t="shared" si="31"/>
        <v>Dec</v>
      </c>
      <c r="E357" s="7">
        <f t="shared" si="32"/>
        <v>6</v>
      </c>
      <c r="F357" s="7">
        <f t="shared" si="35"/>
        <v>3</v>
      </c>
      <c r="G357" s="7" t="str">
        <f t="shared" si="33"/>
        <v>Fri</v>
      </c>
      <c r="H357" s="2">
        <v>189</v>
      </c>
    </row>
    <row r="358" spans="2:8" x14ac:dyDescent="0.2">
      <c r="B358" s="6">
        <f t="shared" ref="B358:B368" si="36">IFERROR(IF(YEAR(B357+1)=YEAR($B$4),B357+1,""),"")</f>
        <v>41629</v>
      </c>
      <c r="C358" s="7">
        <f t="shared" ref="C358:C368" si="37">IFERROR(DAY(B358),"")</f>
        <v>21</v>
      </c>
      <c r="D358" s="7" t="str">
        <f t="shared" si="31"/>
        <v>Dec</v>
      </c>
      <c r="E358" s="7">
        <f t="shared" ref="E358:E368" si="38">IFERROR(WEEKDAY(B358),"")</f>
        <v>7</v>
      </c>
      <c r="F358" s="7">
        <f t="shared" si="35"/>
        <v>3</v>
      </c>
      <c r="G358" s="7" t="str">
        <f t="shared" ref="G358:G368" si="39">TEXT(B358,"ddd")</f>
        <v>Sat</v>
      </c>
      <c r="H358" s="2">
        <v>219</v>
      </c>
    </row>
    <row r="359" spans="2:8" x14ac:dyDescent="0.2">
      <c r="B359" s="6">
        <f t="shared" si="36"/>
        <v>41630</v>
      </c>
      <c r="C359" s="7">
        <f t="shared" si="37"/>
        <v>22</v>
      </c>
      <c r="D359" s="7" t="str">
        <f t="shared" si="31"/>
        <v>Dec</v>
      </c>
      <c r="E359" s="7">
        <f t="shared" si="38"/>
        <v>1</v>
      </c>
      <c r="F359" s="7">
        <f t="shared" si="35"/>
        <v>4</v>
      </c>
      <c r="G359" s="7" t="str">
        <f t="shared" si="39"/>
        <v>Sun</v>
      </c>
      <c r="H359" s="2">
        <v>228</v>
      </c>
    </row>
    <row r="360" spans="2:8" x14ac:dyDescent="0.2">
      <c r="B360" s="6">
        <f t="shared" si="36"/>
        <v>41631</v>
      </c>
      <c r="C360" s="7">
        <f t="shared" si="37"/>
        <v>23</v>
      </c>
      <c r="D360" s="7" t="str">
        <f t="shared" si="31"/>
        <v>Dec</v>
      </c>
      <c r="E360" s="7">
        <f t="shared" si="38"/>
        <v>2</v>
      </c>
      <c r="F360" s="7">
        <f t="shared" si="35"/>
        <v>4</v>
      </c>
      <c r="G360" s="7" t="str">
        <f t="shared" si="39"/>
        <v>Mon</v>
      </c>
      <c r="H360" s="2">
        <v>184</v>
      </c>
    </row>
    <row r="361" spans="2:8" x14ac:dyDescent="0.2">
      <c r="B361" s="6">
        <f t="shared" si="36"/>
        <v>41632</v>
      </c>
      <c r="C361" s="7">
        <f t="shared" si="37"/>
        <v>24</v>
      </c>
      <c r="D361" s="7" t="str">
        <f t="shared" si="31"/>
        <v>Dec</v>
      </c>
      <c r="E361" s="7">
        <f t="shared" si="38"/>
        <v>3</v>
      </c>
      <c r="F361" s="7">
        <f t="shared" si="35"/>
        <v>4</v>
      </c>
      <c r="G361" s="7" t="str">
        <f t="shared" si="39"/>
        <v>Tue</v>
      </c>
      <c r="H361" s="2">
        <v>202</v>
      </c>
    </row>
    <row r="362" spans="2:8" x14ac:dyDescent="0.2">
      <c r="B362" s="6">
        <f t="shared" si="36"/>
        <v>41633</v>
      </c>
      <c r="C362" s="7">
        <f t="shared" si="37"/>
        <v>25</v>
      </c>
      <c r="D362" s="7" t="str">
        <f t="shared" si="31"/>
        <v>Dec</v>
      </c>
      <c r="E362" s="7">
        <f t="shared" si="38"/>
        <v>4</v>
      </c>
      <c r="F362" s="7">
        <f t="shared" si="35"/>
        <v>4</v>
      </c>
      <c r="G362" s="7" t="str">
        <f t="shared" si="39"/>
        <v>Wed</v>
      </c>
      <c r="H362" s="2">
        <v>175</v>
      </c>
    </row>
    <row r="363" spans="2:8" x14ac:dyDescent="0.2">
      <c r="B363" s="6">
        <f t="shared" si="36"/>
        <v>41634</v>
      </c>
      <c r="C363" s="7">
        <f t="shared" si="37"/>
        <v>26</v>
      </c>
      <c r="D363" s="7" t="str">
        <f t="shared" si="31"/>
        <v>Dec</v>
      </c>
      <c r="E363" s="7">
        <f t="shared" si="38"/>
        <v>5</v>
      </c>
      <c r="F363" s="7">
        <f t="shared" si="35"/>
        <v>4</v>
      </c>
      <c r="G363" s="7" t="str">
        <f t="shared" si="39"/>
        <v>Thu</v>
      </c>
      <c r="H363" s="2">
        <v>185</v>
      </c>
    </row>
    <row r="364" spans="2:8" x14ac:dyDescent="0.2">
      <c r="B364" s="6">
        <f t="shared" si="36"/>
        <v>41635</v>
      </c>
      <c r="C364" s="7">
        <f t="shared" si="37"/>
        <v>27</v>
      </c>
      <c r="D364" s="7" t="str">
        <f t="shared" si="31"/>
        <v>Dec</v>
      </c>
      <c r="E364" s="7">
        <f t="shared" si="38"/>
        <v>6</v>
      </c>
      <c r="F364" s="7">
        <f t="shared" si="35"/>
        <v>4</v>
      </c>
      <c r="G364" s="7" t="str">
        <f t="shared" si="39"/>
        <v>Fri</v>
      </c>
      <c r="H364" s="2">
        <v>176</v>
      </c>
    </row>
    <row r="365" spans="2:8" x14ac:dyDescent="0.2">
      <c r="B365" s="6">
        <f t="shared" si="36"/>
        <v>41636</v>
      </c>
      <c r="C365" s="7">
        <f t="shared" si="37"/>
        <v>28</v>
      </c>
      <c r="D365" s="7" t="str">
        <f t="shared" si="31"/>
        <v>Dec</v>
      </c>
      <c r="E365" s="7">
        <f t="shared" si="38"/>
        <v>7</v>
      </c>
      <c r="F365" s="7">
        <f t="shared" si="35"/>
        <v>4</v>
      </c>
      <c r="G365" s="7" t="str">
        <f t="shared" si="39"/>
        <v>Sat</v>
      </c>
      <c r="H365" s="2">
        <v>203</v>
      </c>
    </row>
    <row r="366" spans="2:8" x14ac:dyDescent="0.2">
      <c r="B366" s="6">
        <f t="shared" si="36"/>
        <v>41637</v>
      </c>
      <c r="C366" s="7">
        <f t="shared" si="37"/>
        <v>29</v>
      </c>
      <c r="D366" s="7" t="str">
        <f t="shared" si="31"/>
        <v>Dec</v>
      </c>
      <c r="E366" s="7">
        <f t="shared" si="38"/>
        <v>1</v>
      </c>
      <c r="F366" s="7">
        <f t="shared" si="35"/>
        <v>5</v>
      </c>
      <c r="G366" s="7" t="str">
        <f t="shared" si="39"/>
        <v>Sun</v>
      </c>
      <c r="H366" s="2">
        <v>234</v>
      </c>
    </row>
    <row r="367" spans="2:8" x14ac:dyDescent="0.2">
      <c r="B367" s="6">
        <f t="shared" si="36"/>
        <v>41638</v>
      </c>
      <c r="C367" s="7">
        <f t="shared" si="37"/>
        <v>30</v>
      </c>
      <c r="D367" s="7" t="str">
        <f t="shared" si="31"/>
        <v>Dec</v>
      </c>
      <c r="E367" s="7">
        <f t="shared" si="38"/>
        <v>2</v>
      </c>
      <c r="F367" s="7">
        <f t="shared" si="35"/>
        <v>5</v>
      </c>
      <c r="G367" s="7" t="str">
        <f t="shared" si="39"/>
        <v>Mon</v>
      </c>
      <c r="H367" s="2">
        <v>193</v>
      </c>
    </row>
    <row r="368" spans="2:8" x14ac:dyDescent="0.2">
      <c r="B368" s="6">
        <f t="shared" si="36"/>
        <v>41639</v>
      </c>
      <c r="C368" s="7">
        <f t="shared" si="37"/>
        <v>31</v>
      </c>
      <c r="D368" s="7" t="str">
        <f t="shared" si="31"/>
        <v>Dec</v>
      </c>
      <c r="E368" s="7">
        <f t="shared" si="38"/>
        <v>3</v>
      </c>
      <c r="F368" s="7">
        <f t="shared" si="35"/>
        <v>5</v>
      </c>
      <c r="G368" s="7" t="str">
        <f t="shared" si="39"/>
        <v>Tue</v>
      </c>
      <c r="H368" s="2">
        <v>212</v>
      </c>
    </row>
    <row r="369" spans="2:8" x14ac:dyDescent="0.2">
      <c r="B369" s="4">
        <f>IFERROR(IF(YEAR(B368+1)=YEAR($B$4),B368+1,B368),"")</f>
        <v>41639</v>
      </c>
      <c r="C369" s="5" t="str">
        <f>IFERROR(IF(DAY(B369)=C368,"",DAY(B369)),"")</f>
        <v/>
      </c>
      <c r="D369" s="5" t="str">
        <f>IF(C369&lt;&gt;"",TEXT(B369,"mmm"),"Dec")</f>
        <v>Dec</v>
      </c>
      <c r="E369" s="5" t="str">
        <f>IFERROR(IF(C369&lt;&gt;"",WEEKDAY(B369),""),"")</f>
        <v/>
      </c>
      <c r="F369" s="5" t="str">
        <f>IF(C369&lt;&gt;"",IF(D369=D368,IF(E369=1,F368+1,F368),1),"")</f>
        <v/>
      </c>
      <c r="G369" s="5" t="str">
        <f>IF(C369&lt;&gt;"",TEXT(B369,"ddd"),"")</f>
        <v/>
      </c>
      <c r="H369" s="5" t="s">
        <v>20</v>
      </c>
    </row>
    <row r="370" spans="2:8" x14ac:dyDescent="0.2">
      <c r="G370" s="1" t="s">
        <v>14</v>
      </c>
      <c r="H370" s="2">
        <f>MAX(H4:H369)</f>
        <v>234</v>
      </c>
    </row>
    <row r="371" spans="2:8" x14ac:dyDescent="0.2">
      <c r="G371" s="1" t="s">
        <v>15</v>
      </c>
      <c r="H371" s="2">
        <f>MIN(H4:H369)</f>
        <v>165</v>
      </c>
    </row>
  </sheetData>
  <mergeCells count="1">
    <mergeCell ref="B2:H2"/>
  </mergeCells>
  <pageMargins left="0.7" right="0.7" top="0.75" bottom="0.75" header="0.3" footer="0.3"/>
  <pageSetup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10"/>
  <sheetViews>
    <sheetView workbookViewId="0">
      <selection activeCell="L20" sqref="L20"/>
    </sheetView>
  </sheetViews>
  <sheetFormatPr defaultRowHeight="15" x14ac:dyDescent="0.25"/>
  <cols>
    <col min="1" max="1" width="15.7109375" bestFit="1" customWidth="1"/>
    <col min="2" max="2" width="16.28515625" customWidth="1"/>
    <col min="3" max="3" width="5.140625" customWidth="1"/>
    <col min="4" max="4" width="4.28515625" customWidth="1"/>
    <col min="5" max="5" width="5.28515625" customWidth="1"/>
    <col min="6" max="6" width="4.28515625" customWidth="1"/>
    <col min="7" max="7" width="3.28515625" customWidth="1"/>
    <col min="8" max="8" width="3.7109375" customWidth="1"/>
    <col min="9" max="9" width="11.28515625" customWidth="1"/>
    <col min="10" max="10" width="11.28515625" bestFit="1" customWidth="1"/>
    <col min="11" max="12" width="4" customWidth="1"/>
    <col min="13" max="13" width="10" customWidth="1"/>
    <col min="14" max="14" width="6.140625" customWidth="1"/>
    <col min="15" max="17" width="4" customWidth="1"/>
    <col min="19" max="19" width="7.140625" customWidth="1"/>
    <col min="20" max="22" width="4" customWidth="1"/>
    <col min="23" max="23" width="10.140625" bestFit="1" customWidth="1"/>
    <col min="24" max="24" width="6.140625" customWidth="1"/>
    <col min="25" max="27" width="4" customWidth="1"/>
    <col min="29" max="29" width="5.140625" customWidth="1"/>
    <col min="30" max="32" width="4" customWidth="1"/>
    <col min="33" max="33" width="8.140625" customWidth="1"/>
    <col min="34" max="34" width="5.5703125" customWidth="1"/>
    <col min="35" max="37" width="4" customWidth="1"/>
    <col min="38" max="38" width="8.5703125" customWidth="1"/>
    <col min="39" max="39" width="11.28515625" bestFit="1" customWidth="1"/>
  </cols>
  <sheetData>
    <row r="1" spans="1:9" x14ac:dyDescent="0.25">
      <c r="A1" s="10" t="s">
        <v>2</v>
      </c>
      <c r="B1" t="s">
        <v>21</v>
      </c>
    </row>
    <row r="3" spans="1:9" x14ac:dyDescent="0.25">
      <c r="A3" s="10" t="s">
        <v>19</v>
      </c>
      <c r="B3" s="10" t="s">
        <v>18</v>
      </c>
    </row>
    <row r="4" spans="1:9" x14ac:dyDescent="0.25">
      <c r="A4" s="10" t="s">
        <v>16</v>
      </c>
      <c r="B4" t="s">
        <v>12</v>
      </c>
      <c r="C4" t="s">
        <v>6</v>
      </c>
      <c r="D4" t="s">
        <v>7</v>
      </c>
      <c r="E4" t="s">
        <v>8</v>
      </c>
      <c r="F4" t="s">
        <v>9</v>
      </c>
      <c r="G4" t="s">
        <v>10</v>
      </c>
      <c r="H4" t="s">
        <v>11</v>
      </c>
      <c r="I4" t="s">
        <v>17</v>
      </c>
    </row>
    <row r="5" spans="1:9" x14ac:dyDescent="0.25">
      <c r="A5" s="3">
        <v>1</v>
      </c>
      <c r="B5" s="11"/>
      <c r="C5" s="11"/>
      <c r="D5" s="11"/>
      <c r="E5" s="11"/>
      <c r="F5" s="11"/>
      <c r="G5" s="11">
        <v>1</v>
      </c>
      <c r="H5" s="11">
        <v>2</v>
      </c>
      <c r="I5" s="11">
        <v>3</v>
      </c>
    </row>
    <row r="6" spans="1:9" x14ac:dyDescent="0.25">
      <c r="A6" s="3">
        <v>2</v>
      </c>
      <c r="B6" s="11">
        <v>3</v>
      </c>
      <c r="C6" s="11">
        <v>4</v>
      </c>
      <c r="D6" s="11">
        <v>5</v>
      </c>
      <c r="E6" s="11">
        <v>6</v>
      </c>
      <c r="F6" s="11">
        <v>7</v>
      </c>
      <c r="G6" s="11">
        <v>8</v>
      </c>
      <c r="H6" s="11">
        <v>9</v>
      </c>
      <c r="I6" s="11">
        <v>42</v>
      </c>
    </row>
    <row r="7" spans="1:9" x14ac:dyDescent="0.25">
      <c r="A7" s="3">
        <v>3</v>
      </c>
      <c r="B7" s="11">
        <v>10</v>
      </c>
      <c r="C7" s="11">
        <v>11</v>
      </c>
      <c r="D7" s="11">
        <v>12</v>
      </c>
      <c r="E7" s="11">
        <v>13</v>
      </c>
      <c r="F7" s="11">
        <v>14</v>
      </c>
      <c r="G7" s="11">
        <v>15</v>
      </c>
      <c r="H7" s="11">
        <v>16</v>
      </c>
      <c r="I7" s="11">
        <v>91</v>
      </c>
    </row>
    <row r="8" spans="1:9" x14ac:dyDescent="0.25">
      <c r="A8" s="3">
        <v>4</v>
      </c>
      <c r="B8" s="11">
        <v>17</v>
      </c>
      <c r="C8" s="11">
        <v>18</v>
      </c>
      <c r="D8" s="11">
        <v>19</v>
      </c>
      <c r="E8" s="11">
        <v>20</v>
      </c>
      <c r="F8" s="11">
        <v>21</v>
      </c>
      <c r="G8" s="11">
        <v>22</v>
      </c>
      <c r="H8" s="11">
        <v>23</v>
      </c>
      <c r="I8" s="11">
        <v>140</v>
      </c>
    </row>
    <row r="9" spans="1:9" x14ac:dyDescent="0.25">
      <c r="A9" s="3">
        <v>5</v>
      </c>
      <c r="B9" s="11">
        <v>24</v>
      </c>
      <c r="C9" s="11">
        <v>25</v>
      </c>
      <c r="D9" s="11">
        <v>26</v>
      </c>
      <c r="E9" s="11">
        <v>27</v>
      </c>
      <c r="F9" s="11">
        <v>28</v>
      </c>
      <c r="G9" s="11">
        <v>29</v>
      </c>
      <c r="H9" s="11">
        <v>30</v>
      </c>
      <c r="I9" s="11">
        <v>189</v>
      </c>
    </row>
    <row r="10" spans="1:9" x14ac:dyDescent="0.25">
      <c r="A10" s="3" t="s">
        <v>17</v>
      </c>
      <c r="B10" s="11">
        <v>54</v>
      </c>
      <c r="C10" s="11">
        <v>58</v>
      </c>
      <c r="D10" s="11">
        <v>62</v>
      </c>
      <c r="E10" s="11">
        <v>66</v>
      </c>
      <c r="F10" s="11">
        <v>70</v>
      </c>
      <c r="G10" s="11">
        <v>75</v>
      </c>
      <c r="H10" s="11">
        <v>80</v>
      </c>
      <c r="I10" s="11">
        <v>465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S23"/>
  <sheetViews>
    <sheetView tabSelected="1" topLeftCell="C2" zoomScale="170" zoomScaleNormal="170" workbookViewId="0">
      <selection activeCell="S12" sqref="S12"/>
    </sheetView>
  </sheetViews>
  <sheetFormatPr defaultRowHeight="15" x14ac:dyDescent="0.25"/>
  <cols>
    <col min="3" max="3" width="1.42578125" customWidth="1"/>
    <col min="4" max="4" width="2.85546875" customWidth="1"/>
    <col min="5" max="11" width="7.140625" customWidth="1"/>
    <col min="12" max="12" width="2.85546875" customWidth="1"/>
    <col min="13" max="13" width="0.7109375" customWidth="1"/>
    <col min="16" max="16" width="1.42578125" customWidth="1"/>
    <col min="18" max="18" width="9.7109375" bestFit="1" customWidth="1"/>
    <col min="19" max="19" width="10.7109375" bestFit="1" customWidth="1"/>
  </cols>
  <sheetData>
    <row r="1" spans="1:19" ht="22.5" customHeight="1" x14ac:dyDescent="0.25"/>
    <row r="2" spans="1:19" ht="7.5" customHeight="1" x14ac:dyDescent="0.25">
      <c r="A2" s="32"/>
      <c r="I2" s="13"/>
      <c r="J2" s="13"/>
      <c r="K2" s="13">
        <v>2013</v>
      </c>
      <c r="L2" s="13"/>
      <c r="M2" s="30" t="str">
        <f>E4&amp;F4&amp;G4</f>
        <v>Nov</v>
      </c>
      <c r="N2" s="13"/>
      <c r="O2" s="13" t="str">
        <f>M2&amp;" "&amp;1&amp;", "&amp;K2</f>
        <v>Nov 1, 2013</v>
      </c>
      <c r="P2" s="13"/>
      <c r="Q2" s="13"/>
    </row>
    <row r="3" spans="1:19" ht="15" customHeight="1" thickBot="1" x14ac:dyDescent="0.3">
      <c r="A3" s="32"/>
      <c r="D3" s="12"/>
      <c r="E3" s="12"/>
      <c r="F3" s="12"/>
      <c r="G3" s="12"/>
      <c r="H3" s="12"/>
      <c r="I3" s="31"/>
      <c r="J3" s="31"/>
      <c r="K3" s="31"/>
      <c r="L3" s="31"/>
      <c r="M3" s="30"/>
      <c r="N3" s="13"/>
      <c r="O3" s="13"/>
      <c r="P3" s="13"/>
      <c r="Q3" s="13"/>
    </row>
    <row r="4" spans="1:19" ht="37.5" customHeight="1" thickBot="1" x14ac:dyDescent="0.3">
      <c r="A4" s="32"/>
      <c r="B4" s="30" t="str">
        <f>TEXT(O2,"mmm dd, yyyy")</f>
        <v>Nov 01, 2013</v>
      </c>
      <c r="D4" s="12"/>
      <c r="E4" s="15" t="str">
        <f>LEFT('Calendar-PivotTable'!B1,1)</f>
        <v>N</v>
      </c>
      <c r="F4" s="16" t="str">
        <f>MID('Calendar-PivotTable'!B1,2,1)</f>
        <v>o</v>
      </c>
      <c r="G4" s="16" t="str">
        <f>RIGHT('Calendar-PivotTable'!B1,1)</f>
        <v>v</v>
      </c>
      <c r="H4" s="17" t="str">
        <f>LEFT(K2,1)</f>
        <v>2</v>
      </c>
      <c r="I4" s="17" t="str">
        <f>MID(K2,2,1)</f>
        <v>0</v>
      </c>
      <c r="J4" s="17" t="str">
        <f>MID(K2,3,1)</f>
        <v>1</v>
      </c>
      <c r="K4" s="18" t="str">
        <f>RIGHT(K2,1)</f>
        <v>3</v>
      </c>
      <c r="L4" s="12"/>
    </row>
    <row r="5" spans="1:19" ht="22.5" customHeight="1" thickBot="1" x14ac:dyDescent="0.3">
      <c r="A5" s="32"/>
      <c r="B5" s="13">
        <f>MONTH(B4)</f>
        <v>11</v>
      </c>
      <c r="D5" s="12"/>
      <c r="E5" s="24" t="s">
        <v>12</v>
      </c>
      <c r="F5" s="25" t="s">
        <v>6</v>
      </c>
      <c r="G5" s="25" t="s">
        <v>7</v>
      </c>
      <c r="H5" s="25" t="s">
        <v>8</v>
      </c>
      <c r="I5" s="25" t="s">
        <v>9</v>
      </c>
      <c r="J5" s="25" t="s">
        <v>10</v>
      </c>
      <c r="K5" s="26" t="s">
        <v>11</v>
      </c>
      <c r="L5" s="12"/>
    </row>
    <row r="6" spans="1:19" ht="18.75" customHeight="1" x14ac:dyDescent="0.25">
      <c r="A6" s="32"/>
      <c r="B6" s="13">
        <f>YEAR(B4)</f>
        <v>2013</v>
      </c>
      <c r="D6" s="12"/>
      <c r="E6" s="28">
        <f>GETPIVOTDATA("Day Num",'Calendar-PivotTable'!$A$2,"Week Num",1,"Day","Sun")</f>
        <v>0</v>
      </c>
      <c r="F6" s="21">
        <f>GETPIVOTDATA("Day Num",'Calendar-PivotTable'!$A$2,"Week Num",1,"Day","Mon")</f>
        <v>0</v>
      </c>
      <c r="G6" s="21">
        <f>GETPIVOTDATA("Day Num",'Calendar-PivotTable'!$A$2,"Week Num",1,"Day","Tue")</f>
        <v>0</v>
      </c>
      <c r="H6" s="21">
        <f>GETPIVOTDATA("Day Num",'Calendar-PivotTable'!$A$2,"Week Num",1,"Day","Wed")</f>
        <v>0</v>
      </c>
      <c r="I6" s="21">
        <f>GETPIVOTDATA("Day Num",'Calendar-PivotTable'!$A$2,"Week Num",1,"Day","Thu")</f>
        <v>0</v>
      </c>
      <c r="J6" s="21">
        <f>GETPIVOTDATA("Day Num",'Calendar-PivotTable'!$A$2,"Week Num",1,"Day","Fri")</f>
        <v>1</v>
      </c>
      <c r="K6" s="22">
        <f>GETPIVOTDATA("Day Num",'Calendar-PivotTable'!$A$2,"Week Num",1,"Day","Sat")</f>
        <v>2</v>
      </c>
      <c r="L6" s="12"/>
    </row>
    <row r="7" spans="1:19" ht="3.75" customHeight="1" x14ac:dyDescent="0.25">
      <c r="B7" s="13"/>
      <c r="D7" s="12"/>
      <c r="E7" s="41" t="str">
        <f>IF(E6=0,"",VLOOKUP(DATE($B$6,$B$5,E6),'Calendar-Data'!$B$4:$H$369,7,FALSE))</f>
        <v/>
      </c>
      <c r="F7" s="42" t="str">
        <f>IF(F6=0,"",VLOOKUP(DATE($B$6,$B$5,F6),'Calendar-Data'!$B$4:$H$369,7,FALSE))</f>
        <v/>
      </c>
      <c r="G7" s="42" t="str">
        <f>IF(G6=0,"",VLOOKUP(DATE($B$6,$B$5,G6),'Calendar-Data'!$B$4:$H$369,7,FALSE))</f>
        <v/>
      </c>
      <c r="H7" s="42" t="str">
        <f>IF(H6=0,"",VLOOKUP(DATE($B$6,$B$5,H6),'Calendar-Data'!$B$4:$H$369,7,FALSE))</f>
        <v/>
      </c>
      <c r="I7" s="42" t="str">
        <f>IF(I6=0,"",VLOOKUP(DATE($B$6,$B$5,I6),'Calendar-Data'!$B$4:$H$369,7,FALSE))</f>
        <v/>
      </c>
      <c r="J7" s="42">
        <f>IF(J6=0,"",VLOOKUP(DATE($B$6,$B$5,J6),'Calendar-Data'!$B$4:$H$369,7,FALSE))</f>
        <v>203</v>
      </c>
      <c r="K7" s="43">
        <f>IF(K6=0,"",VLOOKUP(DATE($B$6,$B$5,K6),'Calendar-Data'!$B$4:$H$369,7,FALSE))</f>
        <v>167</v>
      </c>
      <c r="L7" s="12"/>
      <c r="O7" s="14"/>
      <c r="R7" s="33"/>
    </row>
    <row r="8" spans="1:19" ht="18.75" customHeight="1" x14ac:dyDescent="0.25">
      <c r="B8" s="13"/>
      <c r="D8" s="12"/>
      <c r="E8" s="29">
        <f>GETPIVOTDATA("Day Num",'Calendar-PivotTable'!$A$2,"Week Num",2,"Day","Sun")</f>
        <v>3</v>
      </c>
      <c r="F8" s="20">
        <f>GETPIVOTDATA("Day Num",'Calendar-PivotTable'!$A$2,"Week Num",2,"Day","Mon")</f>
        <v>4</v>
      </c>
      <c r="G8" s="20">
        <f>GETPIVOTDATA("Day Num",'Calendar-PivotTable'!$A$2,"Week Num",2,"Day","Tue")</f>
        <v>5</v>
      </c>
      <c r="H8" s="20">
        <f>GETPIVOTDATA("Day Num",'Calendar-PivotTable'!$A$2,"Week Num",2,"Day","Wed")</f>
        <v>6</v>
      </c>
      <c r="I8" s="20">
        <f>GETPIVOTDATA("Day Num",'Calendar-PivotTable'!$A$2,"Week Num",2,"Day","Thu")</f>
        <v>7</v>
      </c>
      <c r="J8" s="20">
        <f>GETPIVOTDATA("Day Num",'Calendar-PivotTable'!$A$2,"Week Num",2,"Day","Fri")</f>
        <v>8</v>
      </c>
      <c r="K8" s="23">
        <f>GETPIVOTDATA("Day Num",'Calendar-PivotTable'!$A$2,"Week Num",2,"Day","Sat")</f>
        <v>9</v>
      </c>
      <c r="L8" s="12"/>
    </row>
    <row r="9" spans="1:19" ht="3.75" customHeight="1" x14ac:dyDescent="0.25">
      <c r="B9" s="13"/>
      <c r="D9" s="12"/>
      <c r="E9" s="41">
        <f>IF(E8=0,"",VLOOKUP(DATE($B$6,$B$5,E8),'Calendar-Data'!$B$4:$H$369,7,FALSE))</f>
        <v>200</v>
      </c>
      <c r="F9" s="42">
        <f>IF(F8=0,"",VLOOKUP(DATE($B$6,$B$5,F8),'Calendar-Data'!$B$4:$H$369,7,FALSE))</f>
        <v>188</v>
      </c>
      <c r="G9" s="42">
        <f>IF(G8=0,"",VLOOKUP(DATE($B$6,$B$5,G8),'Calendar-Data'!$B$4:$H$369,7,FALSE))</f>
        <v>179</v>
      </c>
      <c r="H9" s="42">
        <f>IF(H8=0,"",VLOOKUP(DATE($B$6,$B$5,H8),'Calendar-Data'!$B$4:$H$369,7,FALSE))</f>
        <v>166</v>
      </c>
      <c r="I9" s="42">
        <f>IF(I8=0,"",VLOOKUP(DATE($B$6,$B$5,I8),'Calendar-Data'!$B$4:$H$369,7,FALSE))</f>
        <v>214</v>
      </c>
      <c r="J9" s="42">
        <f>IF(J8=0,"",VLOOKUP(DATE($B$6,$B$5,J8),'Calendar-Data'!$B$4:$H$369,7,FALSE))</f>
        <v>229</v>
      </c>
      <c r="K9" s="43">
        <f>IF(K8=0,"",VLOOKUP(DATE($B$6,$B$5,K8),'Calendar-Data'!$B$4:$H$369,7,FALSE))</f>
        <v>180</v>
      </c>
      <c r="L9" s="12"/>
      <c r="O9" s="14"/>
      <c r="S9" s="27"/>
    </row>
    <row r="10" spans="1:19" ht="18.75" customHeight="1" x14ac:dyDescent="0.25">
      <c r="B10" s="13"/>
      <c r="D10" s="12"/>
      <c r="E10" s="29">
        <f>GETPIVOTDATA("Day Num",'Calendar-PivotTable'!$A$2,"Week Num",3,"Day","Sun")</f>
        <v>10</v>
      </c>
      <c r="F10" s="20">
        <f>GETPIVOTDATA("Day Num",'Calendar-PivotTable'!$A$2,"Week Num",3,"Day","Mon")</f>
        <v>11</v>
      </c>
      <c r="G10" s="20">
        <f>GETPIVOTDATA("Day Num",'Calendar-PivotTable'!$A$2,"Week Num",3,"Day","Tue")</f>
        <v>12</v>
      </c>
      <c r="H10" s="20">
        <f>GETPIVOTDATA("Day Num",'Calendar-PivotTable'!$A$2,"Week Num",3,"Day","Wed")</f>
        <v>13</v>
      </c>
      <c r="I10" s="20">
        <f>GETPIVOTDATA("Day Num",'Calendar-PivotTable'!$A$2,"Week Num",3,"Day","Thu")</f>
        <v>14</v>
      </c>
      <c r="J10" s="20">
        <f>GETPIVOTDATA("Day Num",'Calendar-PivotTable'!$A$2,"Week Num",3,"Day","Fri")</f>
        <v>15</v>
      </c>
      <c r="K10" s="23">
        <f>GETPIVOTDATA("Day Num",'Calendar-PivotTable'!$A$2,"Week Num",3,"Day","Sat")</f>
        <v>16</v>
      </c>
      <c r="L10" s="12"/>
    </row>
    <row r="11" spans="1:19" ht="3.75" customHeight="1" x14ac:dyDescent="0.25">
      <c r="B11" s="13"/>
      <c r="D11" s="12"/>
      <c r="E11" s="41">
        <f>IF(E10=0,"",VLOOKUP(DATE($B$6,$B$5,E10),'Calendar-Data'!$B$4:$H$369,7,FALSE))</f>
        <v>222</v>
      </c>
      <c r="F11" s="42">
        <f>IF(F10=0,"",VLOOKUP(DATE($B$6,$B$5,F10),'Calendar-Data'!$B$4:$H$369,7,FALSE))</f>
        <v>215</v>
      </c>
      <c r="G11" s="42">
        <f>IF(G10=0,"",VLOOKUP(DATE($B$6,$B$5,G10),'Calendar-Data'!$B$4:$H$369,7,FALSE))</f>
        <v>191</v>
      </c>
      <c r="H11" s="42">
        <f>IF(H10=0,"",VLOOKUP(DATE($B$6,$B$5,H10),'Calendar-Data'!$B$4:$H$369,7,FALSE))</f>
        <v>182</v>
      </c>
      <c r="I11" s="42">
        <f>IF(I10=0,"",VLOOKUP(DATE($B$6,$B$5,I10),'Calendar-Data'!$B$4:$H$369,7,FALSE))</f>
        <v>177</v>
      </c>
      <c r="J11" s="42">
        <f>IF(J10=0,"",VLOOKUP(DATE($B$6,$B$5,J10),'Calendar-Data'!$B$4:$H$369,7,FALSE))</f>
        <v>234</v>
      </c>
      <c r="K11" s="43">
        <f>IF(K10=0,"",VLOOKUP(DATE($B$6,$B$5,K10),'Calendar-Data'!$B$4:$H$369,7,FALSE))</f>
        <v>167</v>
      </c>
      <c r="L11" s="12"/>
    </row>
    <row r="12" spans="1:19" ht="18.75" customHeight="1" x14ac:dyDescent="0.25">
      <c r="B12" s="13"/>
      <c r="D12" s="12"/>
      <c r="E12" s="29">
        <f>GETPIVOTDATA("Day Num",'Calendar-PivotTable'!$A$2,"Week Num",4,"Day","Sun")</f>
        <v>17</v>
      </c>
      <c r="F12" s="20">
        <f>GETPIVOTDATA("Day Num",'Calendar-PivotTable'!$A$2,"Week Num",4,"Day","Mon")</f>
        <v>18</v>
      </c>
      <c r="G12" s="20">
        <f>GETPIVOTDATA("Day Num",'Calendar-PivotTable'!$A$2,"Week Num",4,"Day","Tue")</f>
        <v>19</v>
      </c>
      <c r="H12" s="20">
        <f>GETPIVOTDATA("Day Num",'Calendar-PivotTable'!$A$2,"Week Num",4,"Day","Wed")</f>
        <v>20</v>
      </c>
      <c r="I12" s="20">
        <f>GETPIVOTDATA("Day Num",'Calendar-PivotTable'!$A$2,"Week Num",4,"Day","Thu")</f>
        <v>21</v>
      </c>
      <c r="J12" s="19">
        <f>GETPIVOTDATA("Day Num",'Calendar-PivotTable'!$A$2,"Week Num",4,"Day","Fri")</f>
        <v>22</v>
      </c>
      <c r="K12" s="23">
        <f>GETPIVOTDATA("Day Num",'Calendar-PivotTable'!$A$2,"Week Num",4,"Day","Sat")</f>
        <v>23</v>
      </c>
      <c r="L12" s="12"/>
    </row>
    <row r="13" spans="1:19" ht="3.75" customHeight="1" x14ac:dyDescent="0.25">
      <c r="D13" s="12"/>
      <c r="E13" s="41">
        <f>IF(E12=0,"",VLOOKUP(DATE($B$6,$B$5,E12),'Calendar-Data'!$B$4:$H$369,7,FALSE))</f>
        <v>215</v>
      </c>
      <c r="F13" s="42">
        <f>IF(F12=0,"",VLOOKUP(DATE($B$6,$B$5,F12),'Calendar-Data'!$B$4:$H$369,7,FALSE))</f>
        <v>167</v>
      </c>
      <c r="G13" s="42">
        <f>IF(G12=0,"",VLOOKUP(DATE($B$6,$B$5,G12),'Calendar-Data'!$B$4:$H$369,7,FALSE))</f>
        <v>219</v>
      </c>
      <c r="H13" s="42">
        <f>IF(H12=0,"",VLOOKUP(DATE($B$6,$B$5,H12),'Calendar-Data'!$B$4:$H$369,7,FALSE))</f>
        <v>167</v>
      </c>
      <c r="I13" s="42">
        <f>IF(I12=0,"",VLOOKUP(DATE($B$6,$B$5,I12),'Calendar-Data'!$B$4:$H$369,7,FALSE))</f>
        <v>169</v>
      </c>
      <c r="J13" s="44">
        <f>IF(J12=0,"",VLOOKUP(DATE($B$6,$B$5,J12),'Calendar-Data'!$B$4:$H$369,7,FALSE))</f>
        <v>190</v>
      </c>
      <c r="K13" s="43">
        <f>IF(K12=0,"",VLOOKUP(DATE($B$6,$B$5,K12),'Calendar-Data'!$B$4:$H$369,7,FALSE))</f>
        <v>188</v>
      </c>
      <c r="L13" s="12"/>
      <c r="R13" s="27"/>
    </row>
    <row r="14" spans="1:19" ht="18.75" customHeight="1" x14ac:dyDescent="0.25">
      <c r="D14" s="12"/>
      <c r="E14" s="29">
        <f>IFERROR(GETPIVOTDATA("Day Num",'Calendar-PivotTable'!$A$2,"Week Num",5,"Day","Sun"),0)</f>
        <v>24</v>
      </c>
      <c r="F14" s="20">
        <f>IFERROR(GETPIVOTDATA("Day Num",'Calendar-PivotTable'!$A$2,"Week Num",5,"Day","Mon"),0)</f>
        <v>25</v>
      </c>
      <c r="G14" s="20">
        <f>IFERROR(GETPIVOTDATA("Day Num",'Calendar-PivotTable'!$A$2,"Week Num",5,"Day","Tue"),0)</f>
        <v>26</v>
      </c>
      <c r="H14" s="20">
        <f>IFERROR(GETPIVOTDATA("Day Num",'Calendar-PivotTable'!$A$2,"Week Num",5,"Day","Wed"),0)</f>
        <v>27</v>
      </c>
      <c r="I14" s="20">
        <f>IFERROR(GETPIVOTDATA("Day Num",'Calendar-PivotTable'!$A$2,"Week Num",5,"Day","Thu"),0)</f>
        <v>28</v>
      </c>
      <c r="J14" s="20">
        <f>IFERROR(GETPIVOTDATA("Day Num",'Calendar-PivotTable'!$A$2,"Week Num",5,"Day","Fri"),0)</f>
        <v>29</v>
      </c>
      <c r="K14" s="23">
        <f>IFERROR(GETPIVOTDATA("Day Num",'Calendar-PivotTable'!$A$2,"Week Num",5,"Day","Sat"),0)</f>
        <v>30</v>
      </c>
      <c r="L14" s="12"/>
    </row>
    <row r="15" spans="1:19" ht="3.75" customHeight="1" x14ac:dyDescent="0.25">
      <c r="D15" s="12"/>
      <c r="E15" s="41">
        <f>IF(E14=0,"",VLOOKUP(DATE($B$6,$B$5,E14),'Calendar-Data'!$B$4:$H$369,7,FALSE))</f>
        <v>221</v>
      </c>
      <c r="F15" s="42">
        <f>IF(F14=0,"",VLOOKUP(DATE($B$6,$B$5,F14),'Calendar-Data'!$B$4:$H$369,7,FALSE))</f>
        <v>226</v>
      </c>
      <c r="G15" s="42">
        <f>IF(G14=0,"",VLOOKUP(DATE($B$6,$B$5,G14),'Calendar-Data'!$B$4:$H$369,7,FALSE))</f>
        <v>184</v>
      </c>
      <c r="H15" s="42">
        <f>IF(H14=0,"",VLOOKUP(DATE($B$6,$B$5,H14),'Calendar-Data'!$B$4:$H$369,7,FALSE))</f>
        <v>230</v>
      </c>
      <c r="I15" s="45">
        <f>IF(I14=0,"",VLOOKUP(DATE($B$6,$B$5,I14),'Calendar-Data'!$B$4:$H$369,7,FALSE))</f>
        <v>206</v>
      </c>
      <c r="J15" s="45">
        <f>IF(J14=0,"",VLOOKUP(DATE($B$6,$B$5,J14),'Calendar-Data'!$B$4:$H$369,7,FALSE))</f>
        <v>187</v>
      </c>
      <c r="K15" s="46">
        <f>IF(K14=0,"",VLOOKUP(DATE($B$6,$B$5,K14),'Calendar-Data'!$B$4:$H$369,7,FALSE))</f>
        <v>219</v>
      </c>
      <c r="L15" s="12"/>
    </row>
    <row r="16" spans="1:19" ht="18.75" customHeight="1" x14ac:dyDescent="0.25">
      <c r="D16" s="12"/>
      <c r="E16" s="29">
        <f>IFERROR(GETPIVOTDATA("Day Num",'Calendar-PivotTable'!$A$2,"Week Num",6,"Day","Sun"),0)</f>
        <v>0</v>
      </c>
      <c r="F16" s="20">
        <f>IFERROR(GETPIVOTDATA("Day Num",'Calendar-PivotTable'!$A$2,"Week Num",6,"Day","Mon"),0)</f>
        <v>0</v>
      </c>
      <c r="G16" s="20">
        <f>IFERROR(GETPIVOTDATA("Day Num",'Calendar-PivotTable'!$A$2,"Week Num",6,"Day","Tue"),0)</f>
        <v>0</v>
      </c>
      <c r="H16" s="20">
        <f>IFERROR(GETPIVOTDATA("Day Num",'Calendar-PivotTable'!$A$2,"Week Num",6,"Day","Wed"),0)</f>
        <v>0</v>
      </c>
      <c r="I16" s="20">
        <f>IFERROR(GETPIVOTDATA("Day Num",'Calendar-PivotTable'!$A$2,"Week Num",6,"Day","Thu"),0)</f>
        <v>0</v>
      </c>
      <c r="J16" s="20">
        <f>IFERROR(GETPIVOTDATA("Day Num",'Calendar-PivotTable'!$A$2,"Week Num",6,"Day","Fri"),0)</f>
        <v>0</v>
      </c>
      <c r="K16" s="23">
        <f>IFERROR(GETPIVOTDATA("Day Num",'Calendar-PivotTable'!$A$2,"Week Num",6,"Day","Sat"),0)</f>
        <v>0</v>
      </c>
      <c r="L16" s="12"/>
    </row>
    <row r="17" spans="4:12" ht="3.75" customHeight="1" x14ac:dyDescent="0.25">
      <c r="D17" s="12"/>
      <c r="E17" s="47" t="str">
        <f>IF(E16=0,"",VLOOKUP(DATE($B$6,$B$5,E16),'Calendar-Data'!$B$4:$H$369,7,FALSE))</f>
        <v/>
      </c>
      <c r="F17" s="45" t="str">
        <f>IF(F16=0,"",VLOOKUP(DATE($B$6,$B$5,F16),'Calendar-Data'!$B$4:$H$369,7,FALSE))</f>
        <v/>
      </c>
      <c r="G17" s="45" t="str">
        <f>IF(G16=0,"",VLOOKUP(DATE($B$6,$B$5,G16),'Calendar-Data'!$B$4:$H$369,7,FALSE))</f>
        <v/>
      </c>
      <c r="H17" s="45" t="str">
        <f>IF(H16=0,"",VLOOKUP(DATE($B$6,$B$5,H16),'Calendar-Data'!$B$4:$H$369,7,FALSE))</f>
        <v/>
      </c>
      <c r="I17" s="45" t="str">
        <f>IF(I16=0,"",VLOOKUP(DATE($B$6,$B$5,I16),'Calendar-Data'!$B$4:$H$369,7,FALSE))</f>
        <v/>
      </c>
      <c r="J17" s="45" t="str">
        <f>IF(J16=0,"",VLOOKUP(DATE($B$6,$B$5,J16),'Calendar-Data'!$B$4:$H$369,7,FALSE))</f>
        <v/>
      </c>
      <c r="K17" s="46" t="str">
        <f>IF(K16=0,"",VLOOKUP(DATE($B$6,$B$5,K16),'Calendar-Data'!$B$4:$H$369,7,FALSE))</f>
        <v/>
      </c>
      <c r="L17" s="12"/>
    </row>
    <row r="18" spans="4:12" ht="15" customHeight="1" x14ac:dyDescent="0.25">
      <c r="D18" s="12"/>
      <c r="E18" s="12"/>
      <c r="F18" s="12"/>
      <c r="G18" s="12"/>
      <c r="H18" s="12"/>
      <c r="I18" s="12"/>
      <c r="J18" s="12"/>
      <c r="K18" s="12"/>
      <c r="L18" s="12"/>
    </row>
    <row r="19" spans="4:12" ht="7.5" customHeight="1" x14ac:dyDescent="0.25"/>
    <row r="20" spans="4:12" ht="37.5" customHeight="1" x14ac:dyDescent="0.25"/>
    <row r="21" spans="4:12" ht="37.5" customHeight="1" x14ac:dyDescent="0.25"/>
    <row r="22" spans="4:12" ht="37.5" customHeight="1" x14ac:dyDescent="0.25"/>
    <row r="23" spans="4:12" ht="37.5" customHeight="1" x14ac:dyDescent="0.25"/>
  </sheetData>
  <conditionalFormatting sqref="E6:K6">
    <cfRule type="cellIs" dxfId="6" priority="8" operator="equal">
      <formula>0</formula>
    </cfRule>
  </conditionalFormatting>
  <conditionalFormatting sqref="E14:K14 E16:K16">
    <cfRule type="cellIs" dxfId="5" priority="7" operator="equal">
      <formula>0</formula>
    </cfRule>
  </conditionalFormatting>
  <conditionalFormatting sqref="E16 K16 K14 E6">
    <cfRule type="cellIs" dxfId="4" priority="3" operator="equal">
      <formula>0</formula>
    </cfRule>
  </conditionalFormatting>
  <conditionalFormatting sqref="E7:K7 E9:K9 E11:K11 E13:K13 E15:K15 E17:K17">
    <cfRule type="colorScale" priority="1">
      <colorScale>
        <cfvo type="min"/>
        <cfvo type="percentile" val="50"/>
        <cfvo type="max"/>
        <color rgb="FFF8696B"/>
        <color rgb="FFFFEB84"/>
        <color rgb="FF63BE7B"/>
      </colorScale>
    </cfRule>
  </conditionalFormatting>
  <printOptions horizontalCentered="1"/>
  <pageMargins left="0.7" right="0.7" top="0.75" bottom="0.75" header="0.3" footer="0.3"/>
  <pageSetup orientation="portrait" verticalDpi="0" r:id="rId1"/>
  <ignoredErrors>
    <ignoredError sqref="E8:K16" formula="1"/>
  </ignoredErrors>
  <drawing r:id="rId2"/>
  <legacyDrawing r:id="rId3"/>
  <mc:AlternateContent xmlns:mc="http://schemas.openxmlformats.org/markup-compatibility/2006">
    <mc:Choice Requires="x14">
      <oleObjects>
        <mc:AlternateContent xmlns:mc="http://schemas.openxmlformats.org/markup-compatibility/2006">
          <mc:Choice Requires="x14">
            <oleObject shapeId="10241">
              <objectPr defaultSize="0" autoPict="0" macro="[0]!Year_Change">
                <anchor moveWithCells="1" sizeWithCells="1">
                  <from>
                    <xdr:col>11</xdr:col>
                    <xdr:colOff>0</xdr:colOff>
                    <xdr:row>3</xdr:row>
                    <xdr:rowOff>0</xdr:rowOff>
                  </from>
                  <to>
                    <xdr:col>12</xdr:col>
                    <xdr:colOff>0</xdr:colOff>
                    <xdr:row>4</xdr:row>
                    <xdr:rowOff>0</xdr:rowOff>
                  </to>
                </anchor>
              </objectPr>
            </oleObject>
          </mc:Choice>
        </mc:AlternateContent>
      </oleObjects>
    </mc:Choice>
  </mc:AlternateContent>
  <mc:AlternateContent xmlns:mc="http://schemas.openxmlformats.org/markup-compatibility/2006">
    <mc:Choice Requires="x14">
      <controls>
        <mc:AlternateContent xmlns:mc="http://schemas.openxmlformats.org/markup-compatibility/2006">
          <mc:Choice Requires="x14">
            <control shapeId="10241" r:id="rId4" name="Spinner 1">
              <controlPr defaultSize="0" autoPict="0" macro="[0]!Year_Change">
                <anchor moveWithCells="1" sizeWithCells="1">
                  <from>
                    <xdr:col>11</xdr:col>
                    <xdr:colOff>0</xdr:colOff>
                    <xdr:row>3</xdr:row>
                    <xdr:rowOff>0</xdr:rowOff>
                  </from>
                  <to>
                    <xdr:col>12</xdr:col>
                    <xdr:colOff>0</xdr:colOff>
                    <xdr:row>4</xdr:row>
                    <xdr:rowOff>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S23"/>
  <sheetViews>
    <sheetView zoomScale="90" zoomScaleNormal="90" workbookViewId="0">
      <selection activeCell="P24" sqref="P24"/>
    </sheetView>
  </sheetViews>
  <sheetFormatPr defaultRowHeight="15" x14ac:dyDescent="0.25"/>
  <cols>
    <col min="3" max="3" width="1.42578125" customWidth="1"/>
    <col min="4" max="4" width="2.85546875" customWidth="1"/>
    <col min="5" max="11" width="7.140625" customWidth="1"/>
    <col min="12" max="12" width="2.85546875" customWidth="1"/>
    <col min="13" max="13" width="1.28515625" customWidth="1"/>
    <col min="16" max="16" width="1.42578125" customWidth="1"/>
    <col min="18" max="18" width="9.7109375" bestFit="1" customWidth="1"/>
    <col min="19" max="19" width="10.7109375" bestFit="1" customWidth="1"/>
  </cols>
  <sheetData>
    <row r="1" spans="1:19" ht="22.5" customHeight="1" x14ac:dyDescent="0.25"/>
    <row r="2" spans="1:19" ht="7.5" customHeight="1" x14ac:dyDescent="0.25">
      <c r="A2" s="32"/>
      <c r="I2" s="13"/>
      <c r="J2" s="13"/>
      <c r="K2" s="13">
        <v>2013</v>
      </c>
      <c r="L2" s="13"/>
      <c r="M2" s="30" t="str">
        <f>E4&amp;F4&amp;G4</f>
        <v>Nov</v>
      </c>
      <c r="N2" s="13"/>
      <c r="O2" s="13" t="str">
        <f>M2&amp;" "&amp;1&amp;", "&amp;K2</f>
        <v>Nov 1, 2013</v>
      </c>
      <c r="P2" s="13"/>
      <c r="Q2" s="13"/>
    </row>
    <row r="3" spans="1:19" ht="15" customHeight="1" thickBot="1" x14ac:dyDescent="0.3">
      <c r="A3" s="32"/>
      <c r="B3" s="49"/>
      <c r="D3" s="12"/>
      <c r="E3" s="12"/>
      <c r="F3" s="12"/>
      <c r="G3" s="12"/>
      <c r="H3" s="12"/>
      <c r="I3" s="31"/>
      <c r="J3" s="31"/>
      <c r="K3" s="31"/>
      <c r="L3" s="31"/>
      <c r="M3" s="30"/>
      <c r="N3" s="13"/>
      <c r="O3" s="13"/>
      <c r="P3" s="13"/>
      <c r="Q3" s="13"/>
    </row>
    <row r="4" spans="1:19" ht="37.5" customHeight="1" thickBot="1" x14ac:dyDescent="0.3">
      <c r="A4" s="32"/>
      <c r="B4" s="48" t="str">
        <f>TEXT(O2,"mmm dd, yyyy")</f>
        <v>Nov 01, 2013</v>
      </c>
      <c r="D4" s="12"/>
      <c r="E4" s="15" t="str">
        <f>LEFT('Calendar-PivotTable'!B1,1)</f>
        <v>N</v>
      </c>
      <c r="F4" s="16" t="str">
        <f>MID('Calendar-PivotTable'!B1,2,1)</f>
        <v>o</v>
      </c>
      <c r="G4" s="16" t="str">
        <f>RIGHT('Calendar-PivotTable'!B1,1)</f>
        <v>v</v>
      </c>
      <c r="H4" s="17" t="str">
        <f>LEFT(K2,1)</f>
        <v>2</v>
      </c>
      <c r="I4" s="17" t="str">
        <f>MID(K2,2,1)</f>
        <v>0</v>
      </c>
      <c r="J4" s="17" t="str">
        <f>MID(K2,3,1)</f>
        <v>1</v>
      </c>
      <c r="K4" s="18" t="str">
        <f>RIGHT(K2,1)</f>
        <v>3</v>
      </c>
      <c r="L4" s="12"/>
    </row>
    <row r="5" spans="1:19" ht="22.5" customHeight="1" thickBot="1" x14ac:dyDescent="0.3">
      <c r="A5" s="32"/>
      <c r="B5" s="49">
        <f>MONTH(B4)</f>
        <v>11</v>
      </c>
      <c r="D5" s="12"/>
      <c r="E5" s="24" t="s">
        <v>12</v>
      </c>
      <c r="F5" s="25" t="s">
        <v>6</v>
      </c>
      <c r="G5" s="25" t="s">
        <v>7</v>
      </c>
      <c r="H5" s="25" t="s">
        <v>8</v>
      </c>
      <c r="I5" s="25" t="s">
        <v>9</v>
      </c>
      <c r="J5" s="25" t="s">
        <v>10</v>
      </c>
      <c r="K5" s="26" t="s">
        <v>11</v>
      </c>
      <c r="L5" s="12"/>
    </row>
    <row r="6" spans="1:19" ht="18.75" customHeight="1" x14ac:dyDescent="0.25">
      <c r="A6" s="32"/>
      <c r="B6" s="49">
        <f>YEAR(B4)</f>
        <v>2013</v>
      </c>
      <c r="D6" s="12"/>
      <c r="E6" s="28">
        <f>GETPIVOTDATA("Day Num",'Calendar-PivotTable'!$A$2,"Week Num",1,"Day","Sun")</f>
        <v>0</v>
      </c>
      <c r="F6" s="21">
        <f>GETPIVOTDATA("Day Num",'Calendar-PivotTable'!$A$2,"Week Num",1,"Day","Mon")</f>
        <v>0</v>
      </c>
      <c r="G6" s="21">
        <f>GETPIVOTDATA("Day Num",'Calendar-PivotTable'!$A$2,"Week Num",1,"Day","Tue")</f>
        <v>0</v>
      </c>
      <c r="H6" s="21">
        <f>GETPIVOTDATA("Day Num",'Calendar-PivotTable'!$A$2,"Week Num",1,"Day","Wed")</f>
        <v>0</v>
      </c>
      <c r="I6" s="21">
        <f>GETPIVOTDATA("Day Num",'Calendar-PivotTable'!$A$2,"Week Num",1,"Day","Thu")</f>
        <v>0</v>
      </c>
      <c r="J6" s="21">
        <f>GETPIVOTDATA("Day Num",'Calendar-PivotTable'!$A$2,"Week Num",1,"Day","Fri")</f>
        <v>1</v>
      </c>
      <c r="K6" s="23">
        <f>GETPIVOTDATA("Day Num",'Calendar-PivotTable'!$A$2,"Week Num",1,"Day","Sat")</f>
        <v>2</v>
      </c>
      <c r="L6" s="12"/>
    </row>
    <row r="7" spans="1:19" ht="3.75" customHeight="1" x14ac:dyDescent="0.25">
      <c r="B7" s="49"/>
      <c r="D7" s="12"/>
      <c r="E7" s="41" t="str">
        <f>IF(E6=0,"",VLOOKUP(DATE($B$6,$B$5,E6),'Calendar-Data'!$B$4:$H$369,7,FALSE))</f>
        <v/>
      </c>
      <c r="F7" s="38"/>
      <c r="G7" s="38"/>
      <c r="H7" s="38"/>
      <c r="I7" s="38"/>
      <c r="J7" s="38"/>
      <c r="K7" s="39"/>
      <c r="L7" s="12"/>
      <c r="O7" s="14"/>
      <c r="R7" s="33"/>
    </row>
    <row r="8" spans="1:19" ht="18.75" customHeight="1" x14ac:dyDescent="0.25">
      <c r="B8" s="49"/>
      <c r="D8" s="12"/>
      <c r="E8" s="29">
        <f>GETPIVOTDATA("Day Num",'Calendar-PivotTable'!$A$2,"Week Num",2,"Day","Sun")</f>
        <v>3</v>
      </c>
      <c r="F8" s="20">
        <f>GETPIVOTDATA("Day Num",'Calendar-PivotTable'!$A$2,"Week Num",2,"Day","Mon")</f>
        <v>4</v>
      </c>
      <c r="G8" s="20">
        <f>GETPIVOTDATA("Day Num",'Calendar-PivotTable'!$A$2,"Week Num",2,"Day","Tue")</f>
        <v>5</v>
      </c>
      <c r="H8" s="20">
        <f>GETPIVOTDATA("Day Num",'Calendar-PivotTable'!$A$2,"Week Num",2,"Day","Wed")</f>
        <v>6</v>
      </c>
      <c r="I8" s="20">
        <f>GETPIVOTDATA("Day Num",'Calendar-PivotTable'!$A$2,"Week Num",2,"Day","Thu")</f>
        <v>7</v>
      </c>
      <c r="J8" s="20">
        <f>GETPIVOTDATA("Day Num",'Calendar-PivotTable'!$A$2,"Week Num",2,"Day","Fri")</f>
        <v>8</v>
      </c>
      <c r="K8" s="23">
        <f>GETPIVOTDATA("Day Num",'Calendar-PivotTable'!$A$2,"Week Num",2,"Day","Sat")</f>
        <v>9</v>
      </c>
      <c r="L8" s="12"/>
    </row>
    <row r="9" spans="1:19" ht="3.75" customHeight="1" x14ac:dyDescent="0.25">
      <c r="B9" s="49"/>
      <c r="D9" s="12"/>
      <c r="E9" s="37"/>
      <c r="F9" s="38"/>
      <c r="G9" s="38"/>
      <c r="H9" s="38"/>
      <c r="I9" s="38"/>
      <c r="J9" s="38"/>
      <c r="K9" s="39"/>
      <c r="L9" s="12"/>
      <c r="O9" s="14"/>
      <c r="S9" s="27"/>
    </row>
    <row r="10" spans="1:19" ht="18.75" customHeight="1" x14ac:dyDescent="0.25">
      <c r="B10" s="49"/>
      <c r="D10" s="12"/>
      <c r="E10" s="29">
        <f>GETPIVOTDATA("Day Num",'Calendar-PivotTable'!$A$2,"Week Num",3,"Day","Sun")</f>
        <v>10</v>
      </c>
      <c r="F10" s="20">
        <f>GETPIVOTDATA("Day Num",'Calendar-PivotTable'!$A$2,"Week Num",3,"Day","Mon")</f>
        <v>11</v>
      </c>
      <c r="G10" s="20">
        <f>GETPIVOTDATA("Day Num",'Calendar-PivotTable'!$A$2,"Week Num",3,"Day","Tue")</f>
        <v>12</v>
      </c>
      <c r="H10" s="20">
        <f>GETPIVOTDATA("Day Num",'Calendar-PivotTable'!$A$2,"Week Num",3,"Day","Wed")</f>
        <v>13</v>
      </c>
      <c r="I10" s="20">
        <f>GETPIVOTDATA("Day Num",'Calendar-PivotTable'!$A$2,"Week Num",3,"Day","Thu")</f>
        <v>14</v>
      </c>
      <c r="J10" s="20">
        <f>GETPIVOTDATA("Day Num",'Calendar-PivotTable'!$A$2,"Week Num",3,"Day","Fri")</f>
        <v>15</v>
      </c>
      <c r="K10" s="23">
        <f>GETPIVOTDATA("Day Num",'Calendar-PivotTable'!$A$2,"Week Num",3,"Day","Sat")</f>
        <v>16</v>
      </c>
      <c r="L10" s="12"/>
    </row>
    <row r="11" spans="1:19" ht="3.75" customHeight="1" x14ac:dyDescent="0.25">
      <c r="B11" s="49"/>
      <c r="D11" s="12"/>
      <c r="E11" s="37"/>
      <c r="F11" s="38"/>
      <c r="G11" s="38"/>
      <c r="H11" s="38"/>
      <c r="I11" s="38"/>
      <c r="J11" s="38"/>
      <c r="K11" s="39"/>
      <c r="L11" s="12"/>
    </row>
    <row r="12" spans="1:19" ht="18.75" customHeight="1" x14ac:dyDescent="0.25">
      <c r="B12" s="49"/>
      <c r="D12" s="12"/>
      <c r="E12" s="29">
        <f>GETPIVOTDATA("Day Num",'Calendar-PivotTable'!$A$2,"Week Num",4,"Day","Sun")</f>
        <v>17</v>
      </c>
      <c r="F12" s="20">
        <f>GETPIVOTDATA("Day Num",'Calendar-PivotTable'!$A$2,"Week Num",4,"Day","Mon")</f>
        <v>18</v>
      </c>
      <c r="G12" s="20">
        <f>GETPIVOTDATA("Day Num",'Calendar-PivotTable'!$A$2,"Week Num",4,"Day","Tue")</f>
        <v>19</v>
      </c>
      <c r="H12" s="20">
        <f>GETPIVOTDATA("Day Num",'Calendar-PivotTable'!$A$2,"Week Num",4,"Day","Wed")</f>
        <v>20</v>
      </c>
      <c r="I12" s="20">
        <f>GETPIVOTDATA("Day Num",'Calendar-PivotTable'!$A$2,"Week Num",4,"Day","Thu")</f>
        <v>21</v>
      </c>
      <c r="J12" s="19">
        <f>GETPIVOTDATA("Day Num",'Calendar-PivotTable'!$A$2,"Week Num",4,"Day","Fri")</f>
        <v>22</v>
      </c>
      <c r="K12" s="23">
        <f>GETPIVOTDATA("Day Num",'Calendar-PivotTable'!$A$2,"Week Num",4,"Day","Sat")</f>
        <v>23</v>
      </c>
      <c r="L12" s="12"/>
    </row>
    <row r="13" spans="1:19" ht="3.75" customHeight="1" x14ac:dyDescent="0.25">
      <c r="D13" s="12"/>
      <c r="E13" s="37"/>
      <c r="F13" s="38"/>
      <c r="G13" s="38"/>
      <c r="H13" s="38"/>
      <c r="I13" s="38"/>
      <c r="J13" s="40"/>
      <c r="K13" s="39"/>
      <c r="L13" s="12"/>
      <c r="R13" s="27"/>
    </row>
    <row r="14" spans="1:19" ht="18.75" customHeight="1" x14ac:dyDescent="0.25">
      <c r="D14" s="12"/>
      <c r="E14" s="29">
        <f>IFERROR(GETPIVOTDATA("Day Num",'Calendar-PivotTable'!$A$2,"Week Num",5,"Day","Sun"),0)</f>
        <v>24</v>
      </c>
      <c r="F14" s="20">
        <f>IFERROR(GETPIVOTDATA("Day Num",'Calendar-PivotTable'!$A$2,"Week Num",5,"Day","Mon"),0)</f>
        <v>25</v>
      </c>
      <c r="G14" s="20">
        <f>IFERROR(GETPIVOTDATA("Day Num",'Calendar-PivotTable'!$A$2,"Week Num",5,"Day","Tue"),0)</f>
        <v>26</v>
      </c>
      <c r="H14" s="20">
        <f>IFERROR(GETPIVOTDATA("Day Num",'Calendar-PivotTable'!$A$2,"Week Num",5,"Day","Wed"),0)</f>
        <v>27</v>
      </c>
      <c r="I14" s="20">
        <f>IFERROR(GETPIVOTDATA("Day Num",'Calendar-PivotTable'!$A$2,"Week Num",5,"Day","Thu"),0)</f>
        <v>28</v>
      </c>
      <c r="J14" s="20">
        <f>IFERROR(GETPIVOTDATA("Day Num",'Calendar-PivotTable'!$A$2,"Week Num",5,"Day","Fri"),0)</f>
        <v>29</v>
      </c>
      <c r="K14" s="23">
        <f>IFERROR(GETPIVOTDATA("Day Num",'Calendar-PivotTable'!$A$2,"Week Num",5,"Day","Sat"),0)</f>
        <v>30</v>
      </c>
      <c r="L14" s="12"/>
    </row>
    <row r="15" spans="1:19" ht="3.75" customHeight="1" x14ac:dyDescent="0.25">
      <c r="D15" s="12"/>
      <c r="E15" s="37"/>
      <c r="F15" s="38"/>
      <c r="G15" s="38"/>
      <c r="H15" s="38"/>
      <c r="I15" s="35"/>
      <c r="J15" s="35"/>
      <c r="K15" s="36"/>
      <c r="L15" s="12"/>
    </row>
    <row r="16" spans="1:19" ht="18.75" customHeight="1" x14ac:dyDescent="0.25">
      <c r="D16" s="12"/>
      <c r="E16" s="29">
        <f>IFERROR(GETPIVOTDATA("Day Num",'Calendar-PivotTable'!$A$2,"Week Num",6,"Day","Sun"),0)</f>
        <v>0</v>
      </c>
      <c r="F16" s="20">
        <f>IFERROR(GETPIVOTDATA("Day Num",'Calendar-PivotTable'!$A$2,"Week Num",6,"Day","Mon"),0)</f>
        <v>0</v>
      </c>
      <c r="G16" s="20">
        <f>IFERROR(GETPIVOTDATA("Day Num",'Calendar-PivotTable'!$A$2,"Week Num",6,"Day","Tue"),0)</f>
        <v>0</v>
      </c>
      <c r="H16" s="20">
        <f>IFERROR(GETPIVOTDATA("Day Num",'Calendar-PivotTable'!$A$2,"Week Num",6,"Day","Wed"),0)</f>
        <v>0</v>
      </c>
      <c r="I16" s="20">
        <f>IFERROR(GETPIVOTDATA("Day Num",'Calendar-PivotTable'!$A$2,"Week Num",6,"Day","Thu"),0)</f>
        <v>0</v>
      </c>
      <c r="J16" s="20">
        <f>IFERROR(GETPIVOTDATA("Day Num",'Calendar-PivotTable'!$A$2,"Week Num",6,"Day","Fri"),0)</f>
        <v>0</v>
      </c>
      <c r="K16" s="23">
        <f>IFERROR(GETPIVOTDATA("Day Num",'Calendar-PivotTable'!$A$2,"Week Num",6,"Day","Sat"),0)</f>
        <v>0</v>
      </c>
      <c r="L16" s="12"/>
    </row>
    <row r="17" spans="4:12" ht="3.75" customHeight="1" x14ac:dyDescent="0.25">
      <c r="D17" s="12"/>
      <c r="E17" s="34"/>
      <c r="F17" s="35" t="str">
        <f>IF(F16=0,"",VLOOKUP(DATE($B$6,$B$5,F16),'Calendar-Data'!$B$4:$H$369,7,FALSE))</f>
        <v/>
      </c>
      <c r="G17" s="35" t="str">
        <f>IF(G16=0,"",VLOOKUP(DATE($B$6,$B$5,G16),'Calendar-Data'!$B$4:$H$369,7,FALSE))</f>
        <v/>
      </c>
      <c r="H17" s="35" t="str">
        <f>IF(H16=0,"",VLOOKUP(DATE($B$6,$B$5,H16),'Calendar-Data'!$B$4:$H$369,7,FALSE))</f>
        <v/>
      </c>
      <c r="I17" s="35" t="str">
        <f>IF(I16=0,"",VLOOKUP(DATE($B$6,$B$5,I16),'Calendar-Data'!$B$4:$H$369,7,FALSE))</f>
        <v/>
      </c>
      <c r="J17" s="35" t="str">
        <f>IF(J16=0,"",VLOOKUP(DATE($B$6,$B$5,J16),'Calendar-Data'!$B$4:$H$369,7,FALSE))</f>
        <v/>
      </c>
      <c r="K17" s="36" t="str">
        <f>IF(K16=0,"",VLOOKUP(DATE($B$6,$B$5,K16),'Calendar-Data'!$B$4:$H$369,7,FALSE))</f>
        <v/>
      </c>
      <c r="L17" s="12"/>
    </row>
    <row r="18" spans="4:12" ht="15" customHeight="1" x14ac:dyDescent="0.25">
      <c r="D18" s="12"/>
      <c r="E18" s="12"/>
      <c r="F18" s="12"/>
      <c r="G18" s="12"/>
      <c r="H18" s="12"/>
      <c r="I18" s="12"/>
      <c r="J18" s="12"/>
      <c r="K18" s="12"/>
      <c r="L18" s="12"/>
    </row>
    <row r="19" spans="4:12" ht="7.5" customHeight="1" x14ac:dyDescent="0.25"/>
    <row r="20" spans="4:12" ht="37.5" customHeight="1" x14ac:dyDescent="0.25"/>
    <row r="21" spans="4:12" ht="37.5" customHeight="1" x14ac:dyDescent="0.25"/>
    <row r="22" spans="4:12" ht="37.5" customHeight="1" x14ac:dyDescent="0.25"/>
    <row r="23" spans="4:12" ht="37.5" customHeight="1" x14ac:dyDescent="0.25"/>
  </sheetData>
  <conditionalFormatting sqref="E6:J6">
    <cfRule type="cellIs" dxfId="3" priority="6" operator="equal">
      <formula>0</formula>
    </cfRule>
  </conditionalFormatting>
  <conditionalFormatting sqref="E16:K16 E14:K14">
    <cfRule type="cellIs" dxfId="2" priority="5" operator="equal">
      <formula>0</formula>
    </cfRule>
  </conditionalFormatting>
  <conditionalFormatting sqref="E16 K16 K14 E6">
    <cfRule type="cellIs" dxfId="1" priority="4" operator="equal">
      <formula>0</formula>
    </cfRule>
  </conditionalFormatting>
  <conditionalFormatting sqref="F7:K7 E9:K9 E11:K11 E13:K13 E15:K15 E17:K17">
    <cfRule type="colorScale" priority="3">
      <colorScale>
        <cfvo type="min"/>
        <cfvo type="percentile" val="50"/>
        <cfvo type="max"/>
        <color rgb="FFF8696B"/>
        <color rgb="FFFFEB84"/>
        <color rgb="FF63BE7B"/>
      </colorScale>
    </cfRule>
  </conditionalFormatting>
  <conditionalFormatting sqref="E14">
    <cfRule type="cellIs" dxfId="0" priority="2" operator="equal">
      <formula>0</formula>
    </cfRule>
  </conditionalFormatting>
  <conditionalFormatting sqref="E7">
    <cfRule type="colorScale" priority="1">
      <colorScale>
        <cfvo type="min"/>
        <cfvo type="percentile" val="50"/>
        <cfvo type="max"/>
        <color rgb="FFF8696B"/>
        <color rgb="FFFFEB84"/>
        <color rgb="FF63BE7B"/>
      </colorScale>
    </cfRule>
  </conditionalFormatting>
  <printOptions horizontalCentered="1"/>
  <pageMargins left="0.7" right="0.7" top="0.75" bottom="0.75" header="0.3" footer="0.3"/>
  <pageSetup orientation="portrait" verticalDpi="0" r:id="rId1"/>
  <drawing r:id="rId2"/>
  <legacyDrawing r:id="rId3"/>
  <mc:AlternateContent xmlns:mc="http://schemas.openxmlformats.org/markup-compatibility/2006">
    <mc:Choice Requires="x14">
      <oleObjects>
        <mc:AlternateContent xmlns:mc="http://schemas.openxmlformats.org/markup-compatibility/2006">
          <mc:Choice Requires="x14">
            <oleObject shapeId="11265">
              <objectPr defaultSize="0" autoPict="0" macro="[0]!Year_Change">
                <anchor moveWithCells="1" sizeWithCells="1">
                  <from>
                    <xdr:col>11</xdr:col>
                    <xdr:colOff>0</xdr:colOff>
                    <xdr:row>3</xdr:row>
                    <xdr:rowOff>0</xdr:rowOff>
                  </from>
                  <to>
                    <xdr:col>12</xdr:col>
                    <xdr:colOff>0</xdr:colOff>
                    <xdr:row>4</xdr:row>
                    <xdr:rowOff>0</xdr:rowOff>
                  </to>
                </anchor>
              </objectPr>
            </oleObject>
          </mc:Choice>
        </mc:AlternateContent>
      </oleObjects>
    </mc:Choice>
  </mc:AlternateContent>
  <mc:AlternateContent xmlns:mc="http://schemas.openxmlformats.org/markup-compatibility/2006">
    <mc:Choice Requires="x14">
      <controls>
        <mc:AlternateContent xmlns:mc="http://schemas.openxmlformats.org/markup-compatibility/2006">
          <mc:Choice Requires="x14">
            <control shapeId="11265" r:id="rId4" name="Spinner 1">
              <controlPr defaultSize="0" autoPict="0" macro="[0]!Year_Change">
                <anchor moveWithCells="1" sizeWithCells="1">
                  <from>
                    <xdr:col>11</xdr:col>
                    <xdr:colOff>0</xdr:colOff>
                    <xdr:row>3</xdr:row>
                    <xdr:rowOff>0</xdr:rowOff>
                  </from>
                  <to>
                    <xdr:col>12</xdr:col>
                    <xdr:colOff>0</xdr:colOff>
                    <xdr:row>4</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Calendar-Data</vt:lpstr>
      <vt:lpstr>Calendar-PivotTable</vt:lpstr>
      <vt:lpstr>Calendar</vt:lpstr>
      <vt:lpstr>Calendar (2)</vt:lpstr>
      <vt:lpstr>Calendar!Print_Area</vt:lpstr>
      <vt:lpstr>'Calendar (2)'!Print_Area</vt:lpstr>
    </vt:vector>
  </TitlesOfParts>
  <Company>Generation's School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Atif Naseem</dc:creator>
  <cp:lastModifiedBy>AtifNaseem</cp:lastModifiedBy>
  <cp:lastPrinted>2013-01-29T07:49:44Z</cp:lastPrinted>
  <dcterms:created xsi:type="dcterms:W3CDTF">2013-01-27T07:53:11Z</dcterms:created>
  <dcterms:modified xsi:type="dcterms:W3CDTF">2013-01-30T10:11:01Z</dcterms:modified>
</cp:coreProperties>
</file>